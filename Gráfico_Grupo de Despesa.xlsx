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Rei-1cpd003\coord_plan_institucional\DADOS CPI\Orçamento\2026\EXECUÇÃO ORÇAMENTÁRIA\RELEXORC_CSV\Saida_PowerBI\"/>
    </mc:Choice>
  </mc:AlternateContent>
  <xr:revisionPtr revIDLastSave="0" documentId="13_ncr:1_{7C78E0AF-2888-44E8-9688-1C9EF72027F1}" xr6:coauthVersionLast="47" xr6:coauthVersionMax="47" xr10:uidLastSave="{00000000-0000-0000-0000-000000000000}"/>
  <bookViews>
    <workbookView xWindow="28680" yWindow="-120" windowWidth="29040" windowHeight="15840" xr2:uid="{BD803231-520B-43E5-B415-970328918330}"/>
  </bookViews>
  <sheets>
    <sheet name="Receita X Despesa" sheetId="3" r:id="rId1"/>
    <sheet name="Exec_Por Grupo" sheetId="1" r:id="rId2"/>
    <sheet name="Planilha1" sheetId="2" r:id="rId3"/>
  </sheets>
  <definedNames>
    <definedName name="_xlnm.Print_Area" localSheetId="2">Planilha1!$A$1:$P$59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3" l="1"/>
  <c r="C45" i="3"/>
  <c r="C41" i="3"/>
  <c r="C37" i="3"/>
  <c r="C33" i="3"/>
  <c r="C29" i="3"/>
  <c r="C25" i="3"/>
  <c r="C21" i="3"/>
  <c r="C17" i="3"/>
  <c r="C13" i="3"/>
  <c r="C9" i="3"/>
  <c r="C5" i="3"/>
  <c r="B9" i="2"/>
  <c r="J7" i="2"/>
  <c r="K7" i="2" s="1"/>
  <c r="I7" i="2"/>
  <c r="I14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M12" i="2"/>
  <c r="L12" i="2"/>
  <c r="K12" i="2"/>
  <c r="E12" i="2"/>
  <c r="D12" i="2"/>
  <c r="C12" i="2"/>
  <c r="E10" i="2"/>
  <c r="C10" i="2"/>
  <c r="H9" i="2"/>
  <c r="G9" i="2"/>
  <c r="F9" i="2"/>
  <c r="E9" i="2"/>
  <c r="D9" i="2"/>
  <c r="C9" i="2"/>
  <c r="M6" i="2"/>
  <c r="L6" i="2"/>
  <c r="K6" i="2"/>
  <c r="J6" i="2"/>
  <c r="I6" i="2"/>
  <c r="H6" i="2"/>
  <c r="H12" i="2" s="1"/>
  <c r="G6" i="2"/>
  <c r="G12" i="2" s="1"/>
  <c r="F6" i="2"/>
  <c r="F10" i="2" s="1"/>
  <c r="E6" i="2"/>
  <c r="E11" i="2" s="1"/>
  <c r="D6" i="2"/>
  <c r="D11" i="2" s="1"/>
  <c r="C6" i="2"/>
  <c r="C11" i="2" s="1"/>
  <c r="B6" i="2"/>
  <c r="B10" i="2" s="1"/>
  <c r="G5" i="1"/>
  <c r="G6" i="1"/>
  <c r="D8" i="1"/>
  <c r="E8" i="1"/>
  <c r="F8" i="1"/>
  <c r="C8" i="1"/>
  <c r="G4" i="1"/>
  <c r="L7" i="2" l="1"/>
  <c r="M7" i="2" s="1"/>
  <c r="K13" i="2"/>
  <c r="I13" i="2"/>
  <c r="I10" i="2"/>
  <c r="J14" i="2"/>
  <c r="K14" i="2"/>
  <c r="I9" i="2"/>
  <c r="J10" i="2"/>
  <c r="J9" i="2"/>
  <c r="J13" i="2"/>
  <c r="D10" i="2"/>
  <c r="G11" i="2"/>
  <c r="B12" i="2"/>
  <c r="J12" i="2"/>
  <c r="F11" i="2"/>
  <c r="H11" i="2"/>
  <c r="I12" i="2"/>
  <c r="G10" i="2"/>
  <c r="B11" i="2"/>
  <c r="J11" i="2"/>
  <c r="I11" i="2"/>
  <c r="H10" i="2"/>
  <c r="F12" i="2"/>
  <c r="G8" i="1"/>
  <c r="K11" i="2" l="1"/>
  <c r="K9" i="2"/>
  <c r="K10" i="2"/>
  <c r="N12" i="2"/>
  <c r="M9" i="2" l="1"/>
  <c r="M14" i="2"/>
  <c r="M11" i="2"/>
  <c r="L14" i="2"/>
  <c r="N14" i="2" s="1"/>
  <c r="L11" i="2"/>
  <c r="N8" i="2"/>
  <c r="N11" i="2" s="1"/>
  <c r="M10" i="2"/>
  <c r="M13" i="2"/>
  <c r="L9" i="2"/>
  <c r="L13" i="2"/>
  <c r="L10" i="2"/>
  <c r="N7" i="2"/>
  <c r="N9" i="2" l="1"/>
  <c r="N10" i="2"/>
  <c r="N17" i="2"/>
  <c r="N13" i="2"/>
</calcChain>
</file>

<file path=xl/sharedStrings.xml><?xml version="1.0" encoding="utf-8"?>
<sst xmlns="http://schemas.openxmlformats.org/spreadsheetml/2006/main" count="89" uniqueCount="40">
  <si>
    <t>Pessoal</t>
  </si>
  <si>
    <t>Custeio</t>
  </si>
  <si>
    <t>Investimento</t>
  </si>
  <si>
    <t>LOA</t>
  </si>
  <si>
    <t>AUTORIZADO</t>
  </si>
  <si>
    <t>EMPENHADO</t>
  </si>
  <si>
    <t>BLOQUEADO</t>
  </si>
  <si>
    <t>DISPONÍVEL</t>
  </si>
  <si>
    <t>Fonte: Sistema AFI/AM.</t>
  </si>
  <si>
    <t>Atualizado em 31/07/2026.</t>
  </si>
  <si>
    <t>Mês/Ano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</si>
  <si>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</si>
  <si>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</si>
  <si>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</si>
  <si>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</si>
  <si>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</si>
  <si>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</si>
  <si>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</si>
  <si>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</si>
  <si>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</si>
  <si>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</si>
  <si>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</si>
  <si>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</si>
  <si>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</si>
  <si>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LOA (A)</t>
  </si>
  <si>
    <t>Receita Arrecadada (B)</t>
  </si>
  <si>
    <t>Despesa Realizada (C)</t>
  </si>
  <si>
    <t>Saldo (B-C)</t>
  </si>
  <si>
    <t>Percentual de Realizado % (C/A)</t>
  </si>
  <si>
    <t>LOA (A) - %</t>
  </si>
  <si>
    <t>Receita Arrecadada (B) - %</t>
  </si>
  <si>
    <t>*Atualizado até Julho/2026 (Em 31/07/2026).</t>
  </si>
  <si>
    <t>Valor</t>
  </si>
  <si>
    <t>Percentual de Receita Arrecadada (B) % (B/A)</t>
  </si>
  <si>
    <t>ANÁLISE DA RECEITA ARRECADADA X Despesa Realizada (C) REALIZADA (Fonte 1.599.116) - ANO 2026</t>
  </si>
  <si>
    <t>Despesa Realizada (C) Realizada © - %</t>
  </si>
  <si>
    <t>Fonte: Portal da Transparência/AM (LOA e Receita Arrecadada) e Administração Financeira Intergrada - AFI (Despesa Realizada (C) Realizada - Valor EMPENHADO do RELEXORC 07 ou 21).</t>
  </si>
  <si>
    <t>Despesa Realizada ©</t>
  </si>
  <si>
    <t>Saldo (B-C) (B-C)</t>
  </si>
  <si>
    <t>Item Orçamentário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</si>
</sst>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3" borderId="2" xfId="0" applyFont="1" applyFill="1" applyBorder="1" applyAlignment="1">
      <alignment vertical="center" wrapText="1"/>
    </xf>
    <xf numFmtId="4" fontId="7" fillId="3" borderId="2" xfId="0" applyNumberFormat="1" applyFont="1" applyFill="1" applyBorder="1" applyAlignment="1">
      <alignment horizontal="right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10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3" xfId="0" applyFont="1" applyBorder="1" applyAlignment="1">
      <alignment vertical="center" wrapText="1"/>
    </xf>
    <xf numFmtId="4" fontId="6" fillId="3" borderId="4" xfId="0" applyNumberFormat="1" applyFont="1" applyFill="1" applyBorder="1" applyAlignment="1">
      <alignment horizontal="right" vertical="center" wrapText="1"/>
    </xf>
    <xf numFmtId="4" fontId="4" fillId="3" borderId="0" xfId="0" applyNumberFormat="1" applyFont="1" applyFill="1" applyAlignment="1">
      <alignment vertical="center"/>
    </xf>
    <xf numFmtId="0" fontId="6" fillId="0" borderId="2" xfId="0" applyFont="1" applyBorder="1" applyAlignment="1">
      <alignment vertical="center" wrapText="1"/>
    </xf>
    <xf numFmtId="4" fontId="7" fillId="0" borderId="2" xfId="0" applyNumberFormat="1" applyFont="1" applyBorder="1" applyAlignment="1">
      <alignment horizontal="right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vertical="center" wrapText="1"/>
    </xf>
    <xf numFmtId="10" fontId="9" fillId="3" borderId="2" xfId="0" applyNumberFormat="1" applyFont="1" applyFill="1" applyBorder="1" applyAlignment="1">
      <alignment horizontal="right" vertical="center" wrapText="1"/>
    </xf>
    <xf numFmtId="10" fontId="8" fillId="4" borderId="2" xfId="0" applyNumberFormat="1" applyFont="1" applyFill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" fontId="4" fillId="0" borderId="0" xfId="0" applyNumberFormat="1" applyFont="1"/>
    <xf numFmtId="4" fontId="10" fillId="3" borderId="0" xfId="0" applyNumberFormat="1" applyFont="1" applyFill="1" applyAlignment="1">
      <alignment horizontal="center" vertical="center" wrapText="1"/>
    </xf>
    <xf numFmtId="17" fontId="0" fillId="0" borderId="0" xfId="0" applyNumberFormat="1"/>
    <xf numFmtId="0" fontId="1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Execução Orçamentária por</a:t>
            </a:r>
            <a:r>
              <a:rPr lang="pt-BR" b="1" baseline="0"/>
              <a:t> Grupo de Despesa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'Exec_Por Grupo'!$B$4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Grupo'!$C$4:$G$4</c:f>
              <c:numCache>
                <c:formatCode>#,##0.00</c:formatCode>
                <c:ptCount val="5"/>
                <c:pt idx="0">
                  <c:v>460930000</c:v>
                </c:pt>
                <c:pt idx="1">
                  <c:v>466744779.11000001</c:v>
                </c:pt>
                <c:pt idx="2">
                  <c:v>259066370.99000001</c:v>
                </c:pt>
                <c:pt idx="3">
                  <c:v>9526153.7799999993</c:v>
                </c:pt>
                <c:pt idx="4">
                  <c:v>198152254.34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2-4E63-A900-8B9EC410BD49}"/>
            </c:ext>
          </c:extLst>
        </c:ser>
        <c:ser>
          <c:idx val="1"/>
          <c:order val="1"/>
          <c:tx>
            <c:strRef>
              <c:f>'Exec_Por Grupo'!$B$5</c:f>
              <c:strCache>
                <c:ptCount val="1"/>
                <c:pt idx="0">
                  <c:v>Custeio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Grupo'!$C$5:$G$5</c:f>
              <c:numCache>
                <c:formatCode>#,##0.00</c:formatCode>
                <c:ptCount val="5"/>
                <c:pt idx="0">
                  <c:v>567805000</c:v>
                </c:pt>
                <c:pt idx="1">
                  <c:v>559628145.61000001</c:v>
                </c:pt>
                <c:pt idx="2">
                  <c:v>334024546.41000003</c:v>
                </c:pt>
                <c:pt idx="3">
                  <c:v>153226387.22</c:v>
                </c:pt>
                <c:pt idx="4">
                  <c:v>72377211.979999989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2-4E63-A900-8B9EC410BD49}"/>
            </c:ext>
          </c:extLst>
        </c:ser>
        <c:ser>
          <c:idx val="2"/>
          <c:order val="2"/>
          <c:tx>
            <c:strRef>
              <c:f>'Exec_Por Grupo'!$B$6</c:f>
              <c:strCache>
                <c:ptCount val="1"/>
                <c:pt idx="0">
                  <c:v>Investimento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Grupo'!$C$6:$G$6</c:f>
              <c:numCache>
                <c:formatCode>#,##0.00</c:formatCode>
                <c:ptCount val="5"/>
                <c:pt idx="0">
                  <c:v>7000000</c:v>
                </c:pt>
                <c:pt idx="1">
                  <c:v>15943870.48</c:v>
                </c:pt>
                <c:pt idx="2">
                  <c:v>2682515.31</c:v>
                </c:pt>
                <c:pt idx="3">
                  <c:v>5789460.7400000002</c:v>
                </c:pt>
                <c:pt idx="4">
                  <c:v>7471894.4299999997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2-4E63-A900-8B9EC410B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970399"/>
        <c:axId val="1391971647"/>
      </c:barChart>
      <c:catAx>
        <c:axId val="139197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971647"/>
        <c:crosses val="autoZero"/>
        <c:auto val="1"/>
        <c:lblAlgn val="ctr"/>
        <c:lblOffset val="100"/>
        <c:noMultiLvlLbl val="0"/>
      </c:catAx>
      <c:valAx>
        <c:axId val="13919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970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 sz="2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ANÁLISE DA RECEITA ARRECADADA X DESPESA REALIZADA </a:t>
            </a:r>
          </a:p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 sz="2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(Fonte 1.599.116) - 2026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Planilha1!$A$6</c:f>
              <c:strCache>
                <c:ptCount val="1"/>
                <c:pt idx="0">
                  <c:v>LOA (A)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Planilha1!$B$6:$M$6</c:f>
              <c:numCache>
                <c:formatCode>#,##0.00</c:formatCode>
                <c:ptCount val="12"/>
                <c:pt idx="0">
                  <c:v>84416666.666666672</c:v>
                </c:pt>
                <c:pt idx="1">
                  <c:v>84416666.666666672</c:v>
                </c:pt>
                <c:pt idx="2">
                  <c:v>84416666.666666672</c:v>
                </c:pt>
                <c:pt idx="3">
                  <c:v>84416666.666666672</c:v>
                </c:pt>
                <c:pt idx="4">
                  <c:v>84416666.666666672</c:v>
                </c:pt>
                <c:pt idx="5">
                  <c:v>84416666.666666672</c:v>
                </c:pt>
                <c:pt idx="6">
                  <c:v>84416666.666666672</c:v>
                </c:pt>
                <c:pt idx="7">
                  <c:v>84416666.666666672</c:v>
                </c:pt>
                <c:pt idx="8">
                  <c:v>84416666.666666672</c:v>
                </c:pt>
                <c:pt idx="9">
                  <c:v>84416666.666666672</c:v>
                </c:pt>
                <c:pt idx="10">
                  <c:v>84416666.666666672</c:v>
                </c:pt>
                <c:pt idx="11">
                  <c:v>84416666.666666672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F-4B3D-A9B7-1F7E8833EF96}"/>
            </c:ext>
          </c:extLst>
        </c:ser>
        <c:ser>
          <c:idx val="1"/>
          <c:order val="1"/>
          <c:tx>
            <c:strRef>
              <c:f>Planilha1!$A$7</c:f>
              <c:strCache>
                <c:ptCount val="1"/>
                <c:pt idx="0">
                  <c:v>Receita Arrecadada (B)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Planilha1!$B$7:$M$7</c:f>
              <c:numCache>
                <c:formatCode>#,##0.00</c:formatCode>
                <c:ptCount val="12"/>
                <c:pt idx="0">
                  <c:v>62844099.030000001</c:v>
                </c:pt>
                <c:pt idx="1">
                  <c:v>71107409.859999999</c:v>
                </c:pt>
                <c:pt idx="2">
                  <c:v>75044984.989999995</c:v>
                </c:pt>
                <c:pt idx="3">
                  <c:v>91828183.739999995</c:v>
                </c:pt>
                <c:pt idx="4">
                  <c:v>77415932.5</c:v>
                </c:pt>
                <c:pt idx="5">
                  <c:v>75166762.640000001</c:v>
                </c:pt>
                <c:pt idx="6">
                  <c:v>70888043.189999998</c:v>
                </c:pt>
                <c:pt idx="7">
                  <c:v>74899345.135714278</c:v>
                </c:pt>
                <c:pt idx="8">
                  <c:v>74899345.135714278</c:v>
                </c:pt>
                <c:pt idx="9">
                  <c:v>74899345.135714278</c:v>
                </c:pt>
                <c:pt idx="10">
                  <c:v>74899345.135714278</c:v>
                </c:pt>
                <c:pt idx="11">
                  <c:v>74899345.135714278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F-4B3D-A9B7-1F7E8833EF96}"/>
            </c:ext>
          </c:extLst>
        </c:ser>
        <c:ser>
          <c:idx val="2"/>
          <c:order val="2"/>
          <c:tx>
            <c:strRef>
              <c:f>Planilha1!$A$8</c:f>
              <c:strCache>
                <c:ptCount val="1"/>
                <c:pt idx="0">
                  <c:v>Despesa Realizada ©</c:v>
                </c:pt>
              </c:strCache>
            </c:strRef>
          </c:tx>
          <c:marker>
            <c:symbol val="circle"/>
            <c:size val="5"/>
            <c:spPr>
              <a:solidFill>
                <a:schemeClr val="accent3"/>
              </a:solidFill>
              <a:ln w="57150">
                <a:solidFill>
                  <a:schemeClr val="accent3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Planilha1!$B$8:$M$8</c:f>
              <c:numCache>
                <c:formatCode>#,##0.00</c:formatCode>
                <c:ptCount val="12"/>
                <c:pt idx="0">
                  <c:v>154635427.19999999</c:v>
                </c:pt>
                <c:pt idx="1">
                  <c:v>65867006.619999997</c:v>
                </c:pt>
                <c:pt idx="2">
                  <c:v>54581181.280000001</c:v>
                </c:pt>
                <c:pt idx="3">
                  <c:v>41371067.399999999</c:v>
                </c:pt>
                <c:pt idx="4">
                  <c:v>80184171.170000002</c:v>
                </c:pt>
                <c:pt idx="5">
                  <c:v>92382151.069999993</c:v>
                </c:pt>
                <c:pt idx="6">
                  <c:v>99462564.390000001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F-4B3D-A9B7-1F7E8833EF96}"/>
            </c:ext>
          </c:extLst>
        </c:ser>
        <c:ser>
          <c:idx val="3"/>
          <c:order val="3"/>
          <c:tx>
            <c:strRef>
              <c:f>Planilha1!$A$9</c:f>
              <c:strCache>
                <c:ptCount val="1"/>
                <c:pt idx="0">
                  <c:v>Saldo (B-C) (B-C)</c:v>
                </c:pt>
              </c:strCache>
            </c:strRef>
          </c:tx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Planilha1!$B$9:$M$9</c:f>
              <c:numCache>
                <c:formatCode>#,##0.00</c:formatCode>
                <c:ptCount val="12"/>
                <c:pt idx="0">
                  <c:v>-91791328.169999987</c:v>
                </c:pt>
                <c:pt idx="1">
                  <c:v>5240403.2400000021</c:v>
                </c:pt>
                <c:pt idx="2">
                  <c:v>20463803.709999993</c:v>
                </c:pt>
                <c:pt idx="3">
                  <c:v>50457116.339999996</c:v>
                </c:pt>
                <c:pt idx="4">
                  <c:v>-2768238.6700000018</c:v>
                </c:pt>
                <c:pt idx="5">
                  <c:v>-17215388.429999992</c:v>
                </c:pt>
                <c:pt idx="6">
                  <c:v>-28574521.200000003</c:v>
                </c:pt>
                <c:pt idx="7">
                  <c:v>74899345.135714278</c:v>
                </c:pt>
                <c:pt idx="8">
                  <c:v>74899345.135714278</c:v>
                </c:pt>
                <c:pt idx="9">
                  <c:v>74899345.135714278</c:v>
                </c:pt>
                <c:pt idx="10">
                  <c:v>74899345.135714278</c:v>
                </c:pt>
                <c:pt idx="11">
                  <c:v>74899345.135714278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F-4B3D-A9B7-1F7E8833E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90768"/>
        <c:axId val="1"/>
      </c:lineChart>
      <c:catAx>
        <c:axId val="2397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39790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 rtl="0">
              <a:defRPr sz="2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</c:dTable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4762</xdr:rowOff>
    </xdr:from>
    <xdr:to>
      <xdr:col>11</xdr:col>
      <xdr:colOff>28575</xdr:colOff>
      <xdr:row>25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A3280D-41BB-4346-A839-CAC5F0F86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28575</xdr:rowOff>
    </xdr:from>
    <xdr:to>
      <xdr:col>15</xdr:col>
      <xdr:colOff>15875</xdr:colOff>
      <xdr:row>56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228E8F-990D-4CE4-8C9D-C4AD04DB6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3736-63C4-4805-88B4-CD691F856C39}">
  <dimension ref="A1:C49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0" defaultRowHeight="15" x14ac:dyDescent="0.25"/>
  <cols>
    <col min="1" max="1" width="9.140625" customWidth="1"/>
    <col min="2" max="2" width="21.42578125" bestFit="1" customWidth="1"/>
    <col min="3" max="3" width="13.85546875" bestFit="1" customWidth="1"/>
    <col min="4" max="16384" width="9.140625" hidden="1"/>
  </cols>
  <sheetData>
    <row r="1" spans="1:3" x14ac:dyDescent="0.25">
      <c r="A1" s="28" t="s">
        <v>10</v>
      </c>
      <c r="B1" s="28" t="s">
        <v>39</v>
      </c>
      <c r="C1" s="28" t="s">
        <v>32</v>
      </c>
    </row>
    <row r="2" spans="1:3" x14ac:dyDescent="0.25">
      <c r="A2" s="27">
        <v>46023</v>
      </c>
      <c r="B2" t="s">
        <v>24</v>
      </c>
      <c r="C2" s="1">
        <v>84416666.666666672</v>
      </c>
    </row>
    <row r="3" spans="1:3" x14ac:dyDescent="0.25">
      <c r="A3" s="27">
        <v>46023</v>
      </c>
      <c r="B3" t="s">
        <v>25</v>
      </c>
      <c r="C3" s="1">
        <v>62844099.030000001</v>
      </c>
    </row>
    <row r="4" spans="1:3" x14ac:dyDescent="0.25">
      <c r="A4" s="27">
        <v>46023</v>
      </c>
      <c r="B4" t="s">
        <v>26</v>
      </c>
      <c r="C4" s="1">
        <v>154635427.19999999</v>
      </c>
    </row>
    <row r="5" spans="1:3" x14ac:dyDescent="0.25">
      <c r="A5" s="27">
        <v>46023</v>
      </c>
      <c r="B5" t="s">
        <v>27</v>
      </c>
      <c r="C5" s="1">
        <f>C3-C4</f>
        <v>-91791328.169999987</v>
      </c>
    </row>
    <row r="6" spans="1:3" x14ac:dyDescent="0.25">
      <c r="A6" s="27">
        <v>46054</v>
      </c>
      <c r="B6" t="s">
        <v>24</v>
      </c>
      <c r="C6" s="1">
        <v>84416666.666666672</v>
      </c>
    </row>
    <row r="7" spans="1:3" x14ac:dyDescent="0.25">
      <c r="A7" s="27">
        <v>46054</v>
      </c>
      <c r="B7" t="s">
        <v>25</v>
      </c>
      <c r="C7" s="1">
        <v>71107409.859999999</v>
      </c>
    </row>
    <row r="8" spans="1:3" x14ac:dyDescent="0.25">
      <c r="A8" s="27">
        <v>46054</v>
      </c>
      <c r="B8" t="s">
        <v>26</v>
      </c>
      <c r="C8" s="1">
        <v>65867006.619999997</v>
      </c>
    </row>
    <row r="9" spans="1:3" x14ac:dyDescent="0.25">
      <c r="A9" s="27">
        <v>46054</v>
      </c>
      <c r="B9" t="s">
        <v>27</v>
      </c>
      <c r="C9" s="1">
        <f>C7-C8</f>
        <v>5240403.2400000021</v>
      </c>
    </row>
    <row r="10" spans="1:3" x14ac:dyDescent="0.25">
      <c r="A10" s="27">
        <v>46082</v>
      </c>
      <c r="B10" t="s">
        <v>24</v>
      </c>
      <c r="C10" s="1">
        <v>84416666.666666672</v>
      </c>
    </row>
    <row r="11" spans="1:3" x14ac:dyDescent="0.25">
      <c r="A11" s="27">
        <v>46082</v>
      </c>
      <c r="B11" t="s">
        <v>25</v>
      </c>
      <c r="C11" s="1">
        <v>75044984.989999995</v>
      </c>
    </row>
    <row r="12" spans="1:3" x14ac:dyDescent="0.25">
      <c r="A12" s="27">
        <v>46082</v>
      </c>
      <c r="B12" t="s">
        <v>26</v>
      </c>
      <c r="C12" s="1">
        <v>54581181.280000001</v>
      </c>
    </row>
    <row r="13" spans="1:3" x14ac:dyDescent="0.25">
      <c r="A13" s="27">
        <v>46082</v>
      </c>
      <c r="B13" t="s">
        <v>27</v>
      </c>
      <c r="C13" s="1">
        <f>C11-C12</f>
        <v>20463803.709999993</v>
      </c>
    </row>
    <row r="14" spans="1:3" x14ac:dyDescent="0.25">
      <c r="A14" s="27">
        <v>46113</v>
      </c>
      <c r="B14" t="s">
        <v>24</v>
      </c>
      <c r="C14" s="1">
        <v>84416666.666666672</v>
      </c>
    </row>
    <row r="15" spans="1:3" x14ac:dyDescent="0.25">
      <c r="A15" s="27">
        <v>46113</v>
      </c>
      <c r="B15" t="s">
        <v>25</v>
      </c>
      <c r="C15" s="1">
        <v>91828183.739999995</v>
      </c>
    </row>
    <row r="16" spans="1:3" x14ac:dyDescent="0.25">
      <c r="A16" s="27">
        <v>46113</v>
      </c>
      <c r="B16" t="s">
        <v>26</v>
      </c>
      <c r="C16" s="1">
        <v>41371067.399999999</v>
      </c>
    </row>
    <row r="17" spans="1:3" x14ac:dyDescent="0.25">
      <c r="A17" s="27">
        <v>46113</v>
      </c>
      <c r="B17" t="s">
        <v>27</v>
      </c>
      <c r="C17" s="1">
        <f>C15-C16</f>
        <v>50457116.339999996</v>
      </c>
    </row>
    <row r="18" spans="1:3" x14ac:dyDescent="0.25">
      <c r="A18" s="27">
        <v>46143</v>
      </c>
      <c r="B18" t="s">
        <v>24</v>
      </c>
      <c r="C18" s="1">
        <v>84416666.666666672</v>
      </c>
    </row>
    <row r="19" spans="1:3" x14ac:dyDescent="0.25">
      <c r="A19" s="27">
        <v>46143</v>
      </c>
      <c r="B19" t="s">
        <v>25</v>
      </c>
      <c r="C19" s="1">
        <v>77415932.5</v>
      </c>
    </row>
    <row r="20" spans="1:3" x14ac:dyDescent="0.25">
      <c r="A20" s="27">
        <v>46143</v>
      </c>
      <c r="B20" t="s">
        <v>26</v>
      </c>
      <c r="C20" s="1">
        <v>80184171.170000002</v>
      </c>
    </row>
    <row r="21" spans="1:3" x14ac:dyDescent="0.25">
      <c r="A21" s="27">
        <v>46143</v>
      </c>
      <c r="B21" t="s">
        <v>27</v>
      </c>
      <c r="C21" s="1">
        <f>C19-C20</f>
        <v>-2768238.6700000018</v>
      </c>
    </row>
    <row r="22" spans="1:3" x14ac:dyDescent="0.25">
      <c r="A22" s="27">
        <v>46174</v>
      </c>
      <c r="B22" t="s">
        <v>24</v>
      </c>
      <c r="C22" s="1">
        <v>84416666.666666672</v>
      </c>
    </row>
    <row r="23" spans="1:3" x14ac:dyDescent="0.25">
      <c r="A23" s="27">
        <v>46174</v>
      </c>
      <c r="B23" t="s">
        <v>25</v>
      </c>
      <c r="C23" s="1">
        <v>75166762.640000001</v>
      </c>
    </row>
    <row r="24" spans="1:3" x14ac:dyDescent="0.25">
      <c r="A24" s="27">
        <v>46174</v>
      </c>
      <c r="B24" t="s">
        <v>26</v>
      </c>
      <c r="C24" s="1">
        <v>92382151.069999993</v>
      </c>
    </row>
    <row r="25" spans="1:3" x14ac:dyDescent="0.25">
      <c r="A25" s="27">
        <v>46174</v>
      </c>
      <c r="B25" t="s">
        <v>27</v>
      </c>
      <c r="C25" s="1">
        <f>C23-C24</f>
        <v>-17215388.429999992</v>
      </c>
    </row>
    <row r="26" spans="1:3" x14ac:dyDescent="0.25">
      <c r="A26" s="27">
        <v>46204</v>
      </c>
      <c r="B26" t="s">
        <v>24</v>
      </c>
      <c r="C26" s="1">
        <v>84416666.666666672</v>
      </c>
    </row>
    <row r="27" spans="1:3" x14ac:dyDescent="0.25">
      <c r="A27" s="27">
        <v>46204</v>
      </c>
      <c r="B27" t="s">
        <v>25</v>
      </c>
      <c r="C27" s="1">
        <v>70888043.189999998</v>
      </c>
    </row>
    <row r="28" spans="1:3" x14ac:dyDescent="0.25">
      <c r="A28" s="27">
        <v>46204</v>
      </c>
      <c r="B28" t="s">
        <v>26</v>
      </c>
      <c r="C28" s="1">
        <v>99462564.390000001</v>
      </c>
    </row>
    <row r="29" spans="1:3" x14ac:dyDescent="0.25">
      <c r="A29" s="27">
        <v>46204</v>
      </c>
      <c r="B29" t="s">
        <v>27</v>
      </c>
      <c r="C29" s="1">
        <f>C27-C28</f>
        <v>-28574521.200000003</v>
      </c>
    </row>
    <row r="30" spans="1:3" x14ac:dyDescent="0.25">
      <c r="A30" s="27">
        <v>46235</v>
      </c>
      <c r="B30" t="s">
        <v>24</v>
      </c>
      <c r="C30" s="1">
        <v>84416666.666666672</v>
      </c>
    </row>
    <row r="31" spans="1:3" x14ac:dyDescent="0.25">
      <c r="A31" s="27">
        <v>46235</v>
      </c>
      <c r="B31" t="s">
        <v>25</v>
      </c>
      <c r="C31" s="1"/>
    </row>
    <row r="32" spans="1:3" x14ac:dyDescent="0.25">
      <c r="A32" s="27">
        <v>46235</v>
      </c>
      <c r="B32" t="s">
        <v>26</v>
      </c>
      <c r="C32" s="1"/>
    </row>
    <row r="33" spans="1:3" x14ac:dyDescent="0.25">
      <c r="A33" s="27">
        <v>46235</v>
      </c>
      <c r="B33" t="s">
        <v>27</v>
      </c>
      <c r="C33" s="1">
        <f>C31-C32</f>
        <v>0</v>
      </c>
    </row>
    <row r="34" spans="1:3" x14ac:dyDescent="0.25">
      <c r="A34" s="27">
        <v>46266</v>
      </c>
      <c r="B34" t="s">
        <v>24</v>
      </c>
      <c r="C34" s="1">
        <v>84416666.666666672</v>
      </c>
    </row>
    <row r="35" spans="1:3" x14ac:dyDescent="0.25">
      <c r="A35" s="27">
        <v>46266</v>
      </c>
      <c r="B35" t="s">
        <v>25</v>
      </c>
      <c r="C35" s="1"/>
    </row>
    <row r="36" spans="1:3" x14ac:dyDescent="0.25">
      <c r="A36" s="27">
        <v>46266</v>
      </c>
      <c r="B36" t="s">
        <v>26</v>
      </c>
      <c r="C36" s="1"/>
    </row>
    <row r="37" spans="1:3" x14ac:dyDescent="0.25">
      <c r="A37" s="27">
        <v>46266</v>
      </c>
      <c r="B37" t="s">
        <v>27</v>
      </c>
      <c r="C37" s="1">
        <f>C35-C36</f>
        <v>0</v>
      </c>
    </row>
    <row r="38" spans="1:3" x14ac:dyDescent="0.25">
      <c r="A38" s="27">
        <v>46296</v>
      </c>
      <c r="B38" t="s">
        <v>24</v>
      </c>
      <c r="C38" s="1">
        <v>84416666.666666672</v>
      </c>
    </row>
    <row r="39" spans="1:3" x14ac:dyDescent="0.25">
      <c r="A39" s="27">
        <v>46296</v>
      </c>
      <c r="B39" t="s">
        <v>25</v>
      </c>
      <c r="C39" s="1"/>
    </row>
    <row r="40" spans="1:3" x14ac:dyDescent="0.25">
      <c r="A40" s="27">
        <v>46296</v>
      </c>
      <c r="B40" t="s">
        <v>26</v>
      </c>
      <c r="C40" s="1"/>
    </row>
    <row r="41" spans="1:3" x14ac:dyDescent="0.25">
      <c r="A41" s="27">
        <v>46296</v>
      </c>
      <c r="B41" t="s">
        <v>27</v>
      </c>
      <c r="C41" s="1">
        <f>C39-C40</f>
        <v>0</v>
      </c>
    </row>
    <row r="42" spans="1:3" x14ac:dyDescent="0.25">
      <c r="A42" s="27">
        <v>46327</v>
      </c>
      <c r="B42" t="s">
        <v>24</v>
      </c>
      <c r="C42" s="1">
        <v>84416666.666666672</v>
      </c>
    </row>
    <row r="43" spans="1:3" x14ac:dyDescent="0.25">
      <c r="A43" s="27">
        <v>46327</v>
      </c>
      <c r="B43" t="s">
        <v>25</v>
      </c>
      <c r="C43" s="1"/>
    </row>
    <row r="44" spans="1:3" x14ac:dyDescent="0.25">
      <c r="A44" s="27">
        <v>46327</v>
      </c>
      <c r="B44" t="s">
        <v>26</v>
      </c>
      <c r="C44" s="1"/>
    </row>
    <row r="45" spans="1:3" x14ac:dyDescent="0.25">
      <c r="A45" s="27">
        <v>46327</v>
      </c>
      <c r="B45" t="s">
        <v>27</v>
      </c>
      <c r="C45" s="1">
        <f>C43-C44</f>
        <v>0</v>
      </c>
    </row>
    <row r="46" spans="1:3" x14ac:dyDescent="0.25">
      <c r="A46" s="27">
        <v>46357</v>
      </c>
      <c r="B46" t="s">
        <v>24</v>
      </c>
      <c r="C46" s="1">
        <v>84416666.666666672</v>
      </c>
    </row>
    <row r="47" spans="1:3" x14ac:dyDescent="0.25">
      <c r="A47" s="27">
        <v>46357</v>
      </c>
      <c r="B47" t="s">
        <v>25</v>
      </c>
      <c r="C47" s="1"/>
    </row>
    <row r="48" spans="1:3" x14ac:dyDescent="0.25">
      <c r="A48" s="27">
        <v>46357</v>
      </c>
      <c r="B48" t="s">
        <v>26</v>
      </c>
      <c r="C48" s="1"/>
    </row>
    <row r="49" spans="1:3" x14ac:dyDescent="0.25">
      <c r="A49" s="27">
        <v>46357</v>
      </c>
      <c r="B49" t="s">
        <v>27</v>
      </c>
      <c r="C49" s="1">
        <f>C47-C48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3F72-D795-49FC-9398-FBDE53A0A7F9}">
  <dimension ref="B3:G28"/>
  <sheetViews>
    <sheetView workbookViewId="0">
      <selection activeCell="O23" sqref="O23"/>
    </sheetView>
  </sheetViews>
  <sheetFormatPr defaultRowHeight="15" x14ac:dyDescent="0.25"/>
  <cols>
    <col min="2" max="2" width="12.85546875" bestFit="1" customWidth="1"/>
    <col min="3" max="4" width="15.42578125" bestFit="1" customWidth="1"/>
    <col min="5" max="7" width="13.85546875" bestFit="1" customWidth="1"/>
  </cols>
  <sheetData>
    <row r="3" spans="2:7" x14ac:dyDescent="0.25"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2:7" x14ac:dyDescent="0.25">
      <c r="B4" t="s">
        <v>0</v>
      </c>
      <c r="C4" s="1">
        <v>460930000</v>
      </c>
      <c r="D4" s="1">
        <v>466744779.11000001</v>
      </c>
      <c r="E4" s="1">
        <v>259066370.99000001</v>
      </c>
      <c r="F4" s="1">
        <v>9526153.7799999993</v>
      </c>
      <c r="G4" s="1">
        <f>D4-E4-F4</f>
        <v>198152254.34</v>
      </c>
    </row>
    <row r="5" spans="2:7" x14ac:dyDescent="0.25">
      <c r="B5" t="s">
        <v>1</v>
      </c>
      <c r="C5" s="1">
        <v>567805000</v>
      </c>
      <c r="D5" s="1">
        <v>559628145.61000001</v>
      </c>
      <c r="E5" s="1">
        <v>334024546.41000003</v>
      </c>
      <c r="F5" s="1">
        <v>153226387.22</v>
      </c>
      <c r="G5" s="1">
        <f>D5-E5-F5</f>
        <v>72377211.979999989</v>
      </c>
    </row>
    <row r="6" spans="2:7" x14ac:dyDescent="0.25">
      <c r="B6" t="s">
        <v>2</v>
      </c>
      <c r="C6" s="1">
        <v>7000000</v>
      </c>
      <c r="D6" s="1">
        <v>15943870.48</v>
      </c>
      <c r="E6" s="1">
        <v>2682515.31</v>
      </c>
      <c r="F6" s="1">
        <v>5789460.7400000002</v>
      </c>
      <c r="G6" s="1">
        <f>D6-E6-F6</f>
        <v>7471894.4299999997</v>
      </c>
    </row>
    <row r="8" spans="2:7" x14ac:dyDescent="0.25">
      <c r="C8" s="1">
        <f>SUM(C4:C6)</f>
        <v>1035735000</v>
      </c>
      <c r="D8" s="1">
        <f t="shared" ref="D8:G8" si="0">SUM(D4:D6)</f>
        <v>1042316795.2</v>
      </c>
      <c r="E8" s="1">
        <f t="shared" si="0"/>
        <v>595773432.71000004</v>
      </c>
      <c r="F8" s="1">
        <f t="shared" si="0"/>
        <v>168542001.74000001</v>
      </c>
      <c r="G8" s="1">
        <f t="shared" si="0"/>
        <v>278001360.75</v>
      </c>
    </row>
    <row r="27" spans="2:2" x14ac:dyDescent="0.25">
      <c r="B27" t="s">
        <v>9</v>
      </c>
    </row>
    <row r="28" spans="2:2" x14ac:dyDescent="0.25">
      <c r="B28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2C4-A2C3-4869-A45C-FC4CAB74D8EC}">
  <dimension ref="A2:U59"/>
  <sheetViews>
    <sheetView view="pageBreakPreview" zoomScale="60" zoomScaleNormal="100" workbookViewId="0">
      <selection activeCell="I8" sqref="I8"/>
    </sheetView>
  </sheetViews>
  <sheetFormatPr defaultRowHeight="15.75" x14ac:dyDescent="0.25"/>
  <cols>
    <col min="1" max="1" width="52.140625" style="5" customWidth="1"/>
    <col min="2" max="2" width="23.28515625" style="5" bestFit="1" customWidth="1"/>
    <col min="3" max="6" width="21.5703125" style="5" bestFit="1" customWidth="1"/>
    <col min="7" max="8" width="22.7109375" style="5" bestFit="1" customWidth="1"/>
    <col min="9" max="13" width="21.5703125" style="5" bestFit="1" customWidth="1"/>
    <col min="14" max="14" width="29" style="5" bestFit="1" customWidth="1"/>
    <col min="15" max="15" width="20" style="5" bestFit="1" customWidth="1"/>
    <col min="16" max="16" width="11.28515625" style="5" bestFit="1" customWidth="1"/>
    <col min="17" max="17" width="15.5703125" style="5" bestFit="1" customWidth="1"/>
    <col min="18" max="21" width="11" style="5" bestFit="1" customWidth="1"/>
    <col min="22" max="256" width="9.140625" style="5"/>
    <col min="257" max="257" width="52.140625" style="5" customWidth="1"/>
    <col min="258" max="258" width="23.28515625" style="5" bestFit="1" customWidth="1"/>
    <col min="259" max="269" width="21.5703125" style="5" bestFit="1" customWidth="1"/>
    <col min="270" max="270" width="29" style="5" bestFit="1" customWidth="1"/>
    <col min="271" max="271" width="20" style="5" bestFit="1" customWidth="1"/>
    <col min="272" max="272" width="11.28515625" style="5" bestFit="1" customWidth="1"/>
    <col min="273" max="273" width="15.5703125" style="5" bestFit="1" customWidth="1"/>
    <col min="274" max="277" width="11" style="5" bestFit="1" customWidth="1"/>
    <col min="278" max="512" width="9.140625" style="5"/>
    <col min="513" max="513" width="52.140625" style="5" customWidth="1"/>
    <col min="514" max="514" width="23.28515625" style="5" bestFit="1" customWidth="1"/>
    <col min="515" max="525" width="21.5703125" style="5" bestFit="1" customWidth="1"/>
    <col min="526" max="526" width="29" style="5" bestFit="1" customWidth="1"/>
    <col min="527" max="527" width="20" style="5" bestFit="1" customWidth="1"/>
    <col min="528" max="528" width="11.28515625" style="5" bestFit="1" customWidth="1"/>
    <col min="529" max="529" width="15.5703125" style="5" bestFit="1" customWidth="1"/>
    <col min="530" max="533" width="11" style="5" bestFit="1" customWidth="1"/>
    <col min="534" max="768" width="9.140625" style="5"/>
    <col min="769" max="769" width="52.140625" style="5" customWidth="1"/>
    <col min="770" max="770" width="23.28515625" style="5" bestFit="1" customWidth="1"/>
    <col min="771" max="781" width="21.5703125" style="5" bestFit="1" customWidth="1"/>
    <col min="782" max="782" width="29" style="5" bestFit="1" customWidth="1"/>
    <col min="783" max="783" width="20" style="5" bestFit="1" customWidth="1"/>
    <col min="784" max="784" width="11.28515625" style="5" bestFit="1" customWidth="1"/>
    <col min="785" max="785" width="15.5703125" style="5" bestFit="1" customWidth="1"/>
    <col min="786" max="789" width="11" style="5" bestFit="1" customWidth="1"/>
    <col min="790" max="1024" width="9.140625" style="5"/>
    <col min="1025" max="1025" width="52.140625" style="5" customWidth="1"/>
    <col min="1026" max="1026" width="23.28515625" style="5" bestFit="1" customWidth="1"/>
    <col min="1027" max="1037" width="21.5703125" style="5" bestFit="1" customWidth="1"/>
    <col min="1038" max="1038" width="29" style="5" bestFit="1" customWidth="1"/>
    <col min="1039" max="1039" width="20" style="5" bestFit="1" customWidth="1"/>
    <col min="1040" max="1040" width="11.28515625" style="5" bestFit="1" customWidth="1"/>
    <col min="1041" max="1041" width="15.5703125" style="5" bestFit="1" customWidth="1"/>
    <col min="1042" max="1045" width="11" style="5" bestFit="1" customWidth="1"/>
    <col min="1046" max="1280" width="9.140625" style="5"/>
    <col min="1281" max="1281" width="52.140625" style="5" customWidth="1"/>
    <col min="1282" max="1282" width="23.28515625" style="5" bestFit="1" customWidth="1"/>
    <col min="1283" max="1293" width="21.5703125" style="5" bestFit="1" customWidth="1"/>
    <col min="1294" max="1294" width="29" style="5" bestFit="1" customWidth="1"/>
    <col min="1295" max="1295" width="20" style="5" bestFit="1" customWidth="1"/>
    <col min="1296" max="1296" width="11.28515625" style="5" bestFit="1" customWidth="1"/>
    <col min="1297" max="1297" width="15.5703125" style="5" bestFit="1" customWidth="1"/>
    <col min="1298" max="1301" width="11" style="5" bestFit="1" customWidth="1"/>
    <col min="1302" max="1536" width="9.140625" style="5"/>
    <col min="1537" max="1537" width="52.140625" style="5" customWidth="1"/>
    <col min="1538" max="1538" width="23.28515625" style="5" bestFit="1" customWidth="1"/>
    <col min="1539" max="1549" width="21.5703125" style="5" bestFit="1" customWidth="1"/>
    <col min="1550" max="1550" width="29" style="5" bestFit="1" customWidth="1"/>
    <col min="1551" max="1551" width="20" style="5" bestFit="1" customWidth="1"/>
    <col min="1552" max="1552" width="11.28515625" style="5" bestFit="1" customWidth="1"/>
    <col min="1553" max="1553" width="15.5703125" style="5" bestFit="1" customWidth="1"/>
    <col min="1554" max="1557" width="11" style="5" bestFit="1" customWidth="1"/>
    <col min="1558" max="1792" width="9.140625" style="5"/>
    <col min="1793" max="1793" width="52.140625" style="5" customWidth="1"/>
    <col min="1794" max="1794" width="23.28515625" style="5" bestFit="1" customWidth="1"/>
    <col min="1795" max="1805" width="21.5703125" style="5" bestFit="1" customWidth="1"/>
    <col min="1806" max="1806" width="29" style="5" bestFit="1" customWidth="1"/>
    <col min="1807" max="1807" width="20" style="5" bestFit="1" customWidth="1"/>
    <col min="1808" max="1808" width="11.28515625" style="5" bestFit="1" customWidth="1"/>
    <col min="1809" max="1809" width="15.5703125" style="5" bestFit="1" customWidth="1"/>
    <col min="1810" max="1813" width="11" style="5" bestFit="1" customWidth="1"/>
    <col min="1814" max="2048" width="9.140625" style="5"/>
    <col min="2049" max="2049" width="52.140625" style="5" customWidth="1"/>
    <col min="2050" max="2050" width="23.28515625" style="5" bestFit="1" customWidth="1"/>
    <col min="2051" max="2061" width="21.5703125" style="5" bestFit="1" customWidth="1"/>
    <col min="2062" max="2062" width="29" style="5" bestFit="1" customWidth="1"/>
    <col min="2063" max="2063" width="20" style="5" bestFit="1" customWidth="1"/>
    <col min="2064" max="2064" width="11.28515625" style="5" bestFit="1" customWidth="1"/>
    <col min="2065" max="2065" width="15.5703125" style="5" bestFit="1" customWidth="1"/>
    <col min="2066" max="2069" width="11" style="5" bestFit="1" customWidth="1"/>
    <col min="2070" max="2304" width="9.140625" style="5"/>
    <col min="2305" max="2305" width="52.140625" style="5" customWidth="1"/>
    <col min="2306" max="2306" width="23.28515625" style="5" bestFit="1" customWidth="1"/>
    <col min="2307" max="2317" width="21.5703125" style="5" bestFit="1" customWidth="1"/>
    <col min="2318" max="2318" width="29" style="5" bestFit="1" customWidth="1"/>
    <col min="2319" max="2319" width="20" style="5" bestFit="1" customWidth="1"/>
    <col min="2320" max="2320" width="11.28515625" style="5" bestFit="1" customWidth="1"/>
    <col min="2321" max="2321" width="15.5703125" style="5" bestFit="1" customWidth="1"/>
    <col min="2322" max="2325" width="11" style="5" bestFit="1" customWidth="1"/>
    <col min="2326" max="2560" width="9.140625" style="5"/>
    <col min="2561" max="2561" width="52.140625" style="5" customWidth="1"/>
    <col min="2562" max="2562" width="23.28515625" style="5" bestFit="1" customWidth="1"/>
    <col min="2563" max="2573" width="21.5703125" style="5" bestFit="1" customWidth="1"/>
    <col min="2574" max="2574" width="29" style="5" bestFit="1" customWidth="1"/>
    <col min="2575" max="2575" width="20" style="5" bestFit="1" customWidth="1"/>
    <col min="2576" max="2576" width="11.28515625" style="5" bestFit="1" customWidth="1"/>
    <col min="2577" max="2577" width="15.5703125" style="5" bestFit="1" customWidth="1"/>
    <col min="2578" max="2581" width="11" style="5" bestFit="1" customWidth="1"/>
    <col min="2582" max="2816" width="9.140625" style="5"/>
    <col min="2817" max="2817" width="52.140625" style="5" customWidth="1"/>
    <col min="2818" max="2818" width="23.28515625" style="5" bestFit="1" customWidth="1"/>
    <col min="2819" max="2829" width="21.5703125" style="5" bestFit="1" customWidth="1"/>
    <col min="2830" max="2830" width="29" style="5" bestFit="1" customWidth="1"/>
    <col min="2831" max="2831" width="20" style="5" bestFit="1" customWidth="1"/>
    <col min="2832" max="2832" width="11.28515625" style="5" bestFit="1" customWidth="1"/>
    <col min="2833" max="2833" width="15.5703125" style="5" bestFit="1" customWidth="1"/>
    <col min="2834" max="2837" width="11" style="5" bestFit="1" customWidth="1"/>
    <col min="2838" max="3072" width="9.140625" style="5"/>
    <col min="3073" max="3073" width="52.140625" style="5" customWidth="1"/>
    <col min="3074" max="3074" width="23.28515625" style="5" bestFit="1" customWidth="1"/>
    <col min="3075" max="3085" width="21.5703125" style="5" bestFit="1" customWidth="1"/>
    <col min="3086" max="3086" width="29" style="5" bestFit="1" customWidth="1"/>
    <col min="3087" max="3087" width="20" style="5" bestFit="1" customWidth="1"/>
    <col min="3088" max="3088" width="11.28515625" style="5" bestFit="1" customWidth="1"/>
    <col min="3089" max="3089" width="15.5703125" style="5" bestFit="1" customWidth="1"/>
    <col min="3090" max="3093" width="11" style="5" bestFit="1" customWidth="1"/>
    <col min="3094" max="3328" width="9.140625" style="5"/>
    <col min="3329" max="3329" width="52.140625" style="5" customWidth="1"/>
    <col min="3330" max="3330" width="23.28515625" style="5" bestFit="1" customWidth="1"/>
    <col min="3331" max="3341" width="21.5703125" style="5" bestFit="1" customWidth="1"/>
    <col min="3342" max="3342" width="29" style="5" bestFit="1" customWidth="1"/>
    <col min="3343" max="3343" width="20" style="5" bestFit="1" customWidth="1"/>
    <col min="3344" max="3344" width="11.28515625" style="5" bestFit="1" customWidth="1"/>
    <col min="3345" max="3345" width="15.5703125" style="5" bestFit="1" customWidth="1"/>
    <col min="3346" max="3349" width="11" style="5" bestFit="1" customWidth="1"/>
    <col min="3350" max="3584" width="9.140625" style="5"/>
    <col min="3585" max="3585" width="52.140625" style="5" customWidth="1"/>
    <col min="3586" max="3586" width="23.28515625" style="5" bestFit="1" customWidth="1"/>
    <col min="3587" max="3597" width="21.5703125" style="5" bestFit="1" customWidth="1"/>
    <col min="3598" max="3598" width="29" style="5" bestFit="1" customWidth="1"/>
    <col min="3599" max="3599" width="20" style="5" bestFit="1" customWidth="1"/>
    <col min="3600" max="3600" width="11.28515625" style="5" bestFit="1" customWidth="1"/>
    <col min="3601" max="3601" width="15.5703125" style="5" bestFit="1" customWidth="1"/>
    <col min="3602" max="3605" width="11" style="5" bestFit="1" customWidth="1"/>
    <col min="3606" max="3840" width="9.140625" style="5"/>
    <col min="3841" max="3841" width="52.140625" style="5" customWidth="1"/>
    <col min="3842" max="3842" width="23.28515625" style="5" bestFit="1" customWidth="1"/>
    <col min="3843" max="3853" width="21.5703125" style="5" bestFit="1" customWidth="1"/>
    <col min="3854" max="3854" width="29" style="5" bestFit="1" customWidth="1"/>
    <col min="3855" max="3855" width="20" style="5" bestFit="1" customWidth="1"/>
    <col min="3856" max="3856" width="11.28515625" style="5" bestFit="1" customWidth="1"/>
    <col min="3857" max="3857" width="15.5703125" style="5" bestFit="1" customWidth="1"/>
    <col min="3858" max="3861" width="11" style="5" bestFit="1" customWidth="1"/>
    <col min="3862" max="4096" width="9.140625" style="5"/>
    <col min="4097" max="4097" width="52.140625" style="5" customWidth="1"/>
    <col min="4098" max="4098" width="23.28515625" style="5" bestFit="1" customWidth="1"/>
    <col min="4099" max="4109" width="21.5703125" style="5" bestFit="1" customWidth="1"/>
    <col min="4110" max="4110" width="29" style="5" bestFit="1" customWidth="1"/>
    <col min="4111" max="4111" width="20" style="5" bestFit="1" customWidth="1"/>
    <col min="4112" max="4112" width="11.28515625" style="5" bestFit="1" customWidth="1"/>
    <col min="4113" max="4113" width="15.5703125" style="5" bestFit="1" customWidth="1"/>
    <col min="4114" max="4117" width="11" style="5" bestFit="1" customWidth="1"/>
    <col min="4118" max="4352" width="9.140625" style="5"/>
    <col min="4353" max="4353" width="52.140625" style="5" customWidth="1"/>
    <col min="4354" max="4354" width="23.28515625" style="5" bestFit="1" customWidth="1"/>
    <col min="4355" max="4365" width="21.5703125" style="5" bestFit="1" customWidth="1"/>
    <col min="4366" max="4366" width="29" style="5" bestFit="1" customWidth="1"/>
    <col min="4367" max="4367" width="20" style="5" bestFit="1" customWidth="1"/>
    <col min="4368" max="4368" width="11.28515625" style="5" bestFit="1" customWidth="1"/>
    <col min="4369" max="4369" width="15.5703125" style="5" bestFit="1" customWidth="1"/>
    <col min="4370" max="4373" width="11" style="5" bestFit="1" customWidth="1"/>
    <col min="4374" max="4608" width="9.140625" style="5"/>
    <col min="4609" max="4609" width="52.140625" style="5" customWidth="1"/>
    <col min="4610" max="4610" width="23.28515625" style="5" bestFit="1" customWidth="1"/>
    <col min="4611" max="4621" width="21.5703125" style="5" bestFit="1" customWidth="1"/>
    <col min="4622" max="4622" width="29" style="5" bestFit="1" customWidth="1"/>
    <col min="4623" max="4623" width="20" style="5" bestFit="1" customWidth="1"/>
    <col min="4624" max="4624" width="11.28515625" style="5" bestFit="1" customWidth="1"/>
    <col min="4625" max="4625" width="15.5703125" style="5" bestFit="1" customWidth="1"/>
    <col min="4626" max="4629" width="11" style="5" bestFit="1" customWidth="1"/>
    <col min="4630" max="4864" width="9.140625" style="5"/>
    <col min="4865" max="4865" width="52.140625" style="5" customWidth="1"/>
    <col min="4866" max="4866" width="23.28515625" style="5" bestFit="1" customWidth="1"/>
    <col min="4867" max="4877" width="21.5703125" style="5" bestFit="1" customWidth="1"/>
    <col min="4878" max="4878" width="29" style="5" bestFit="1" customWidth="1"/>
    <col min="4879" max="4879" width="20" style="5" bestFit="1" customWidth="1"/>
    <col min="4880" max="4880" width="11.28515625" style="5" bestFit="1" customWidth="1"/>
    <col min="4881" max="4881" width="15.5703125" style="5" bestFit="1" customWidth="1"/>
    <col min="4882" max="4885" width="11" style="5" bestFit="1" customWidth="1"/>
    <col min="4886" max="5120" width="9.140625" style="5"/>
    <col min="5121" max="5121" width="52.140625" style="5" customWidth="1"/>
    <col min="5122" max="5122" width="23.28515625" style="5" bestFit="1" customWidth="1"/>
    <col min="5123" max="5133" width="21.5703125" style="5" bestFit="1" customWidth="1"/>
    <col min="5134" max="5134" width="29" style="5" bestFit="1" customWidth="1"/>
    <col min="5135" max="5135" width="20" style="5" bestFit="1" customWidth="1"/>
    <col min="5136" max="5136" width="11.28515625" style="5" bestFit="1" customWidth="1"/>
    <col min="5137" max="5137" width="15.5703125" style="5" bestFit="1" customWidth="1"/>
    <col min="5138" max="5141" width="11" style="5" bestFit="1" customWidth="1"/>
    <col min="5142" max="5376" width="9.140625" style="5"/>
    <col min="5377" max="5377" width="52.140625" style="5" customWidth="1"/>
    <col min="5378" max="5378" width="23.28515625" style="5" bestFit="1" customWidth="1"/>
    <col min="5379" max="5389" width="21.5703125" style="5" bestFit="1" customWidth="1"/>
    <col min="5390" max="5390" width="29" style="5" bestFit="1" customWidth="1"/>
    <col min="5391" max="5391" width="20" style="5" bestFit="1" customWidth="1"/>
    <col min="5392" max="5392" width="11.28515625" style="5" bestFit="1" customWidth="1"/>
    <col min="5393" max="5393" width="15.5703125" style="5" bestFit="1" customWidth="1"/>
    <col min="5394" max="5397" width="11" style="5" bestFit="1" customWidth="1"/>
    <col min="5398" max="5632" width="9.140625" style="5"/>
    <col min="5633" max="5633" width="52.140625" style="5" customWidth="1"/>
    <col min="5634" max="5634" width="23.28515625" style="5" bestFit="1" customWidth="1"/>
    <col min="5635" max="5645" width="21.5703125" style="5" bestFit="1" customWidth="1"/>
    <col min="5646" max="5646" width="29" style="5" bestFit="1" customWidth="1"/>
    <col min="5647" max="5647" width="20" style="5" bestFit="1" customWidth="1"/>
    <col min="5648" max="5648" width="11.28515625" style="5" bestFit="1" customWidth="1"/>
    <col min="5649" max="5649" width="15.5703125" style="5" bestFit="1" customWidth="1"/>
    <col min="5650" max="5653" width="11" style="5" bestFit="1" customWidth="1"/>
    <col min="5654" max="5888" width="9.140625" style="5"/>
    <col min="5889" max="5889" width="52.140625" style="5" customWidth="1"/>
    <col min="5890" max="5890" width="23.28515625" style="5" bestFit="1" customWidth="1"/>
    <col min="5891" max="5901" width="21.5703125" style="5" bestFit="1" customWidth="1"/>
    <col min="5902" max="5902" width="29" style="5" bestFit="1" customWidth="1"/>
    <col min="5903" max="5903" width="20" style="5" bestFit="1" customWidth="1"/>
    <col min="5904" max="5904" width="11.28515625" style="5" bestFit="1" customWidth="1"/>
    <col min="5905" max="5905" width="15.5703125" style="5" bestFit="1" customWidth="1"/>
    <col min="5906" max="5909" width="11" style="5" bestFit="1" customWidth="1"/>
    <col min="5910" max="6144" width="9.140625" style="5"/>
    <col min="6145" max="6145" width="52.140625" style="5" customWidth="1"/>
    <col min="6146" max="6146" width="23.28515625" style="5" bestFit="1" customWidth="1"/>
    <col min="6147" max="6157" width="21.5703125" style="5" bestFit="1" customWidth="1"/>
    <col min="6158" max="6158" width="29" style="5" bestFit="1" customWidth="1"/>
    <col min="6159" max="6159" width="20" style="5" bestFit="1" customWidth="1"/>
    <col min="6160" max="6160" width="11.28515625" style="5" bestFit="1" customWidth="1"/>
    <col min="6161" max="6161" width="15.5703125" style="5" bestFit="1" customWidth="1"/>
    <col min="6162" max="6165" width="11" style="5" bestFit="1" customWidth="1"/>
    <col min="6166" max="6400" width="9.140625" style="5"/>
    <col min="6401" max="6401" width="52.140625" style="5" customWidth="1"/>
    <col min="6402" max="6402" width="23.28515625" style="5" bestFit="1" customWidth="1"/>
    <col min="6403" max="6413" width="21.5703125" style="5" bestFit="1" customWidth="1"/>
    <col min="6414" max="6414" width="29" style="5" bestFit="1" customWidth="1"/>
    <col min="6415" max="6415" width="20" style="5" bestFit="1" customWidth="1"/>
    <col min="6416" max="6416" width="11.28515625" style="5" bestFit="1" customWidth="1"/>
    <col min="6417" max="6417" width="15.5703125" style="5" bestFit="1" customWidth="1"/>
    <col min="6418" max="6421" width="11" style="5" bestFit="1" customWidth="1"/>
    <col min="6422" max="6656" width="9.140625" style="5"/>
    <col min="6657" max="6657" width="52.140625" style="5" customWidth="1"/>
    <col min="6658" max="6658" width="23.28515625" style="5" bestFit="1" customWidth="1"/>
    <col min="6659" max="6669" width="21.5703125" style="5" bestFit="1" customWidth="1"/>
    <col min="6670" max="6670" width="29" style="5" bestFit="1" customWidth="1"/>
    <col min="6671" max="6671" width="20" style="5" bestFit="1" customWidth="1"/>
    <col min="6672" max="6672" width="11.28515625" style="5" bestFit="1" customWidth="1"/>
    <col min="6673" max="6673" width="15.5703125" style="5" bestFit="1" customWidth="1"/>
    <col min="6674" max="6677" width="11" style="5" bestFit="1" customWidth="1"/>
    <col min="6678" max="6912" width="9.140625" style="5"/>
    <col min="6913" max="6913" width="52.140625" style="5" customWidth="1"/>
    <col min="6914" max="6914" width="23.28515625" style="5" bestFit="1" customWidth="1"/>
    <col min="6915" max="6925" width="21.5703125" style="5" bestFit="1" customWidth="1"/>
    <col min="6926" max="6926" width="29" style="5" bestFit="1" customWidth="1"/>
    <col min="6927" max="6927" width="20" style="5" bestFit="1" customWidth="1"/>
    <col min="6928" max="6928" width="11.28515625" style="5" bestFit="1" customWidth="1"/>
    <col min="6929" max="6929" width="15.5703125" style="5" bestFit="1" customWidth="1"/>
    <col min="6930" max="6933" width="11" style="5" bestFit="1" customWidth="1"/>
    <col min="6934" max="7168" width="9.140625" style="5"/>
    <col min="7169" max="7169" width="52.140625" style="5" customWidth="1"/>
    <col min="7170" max="7170" width="23.28515625" style="5" bestFit="1" customWidth="1"/>
    <col min="7171" max="7181" width="21.5703125" style="5" bestFit="1" customWidth="1"/>
    <col min="7182" max="7182" width="29" style="5" bestFit="1" customWidth="1"/>
    <col min="7183" max="7183" width="20" style="5" bestFit="1" customWidth="1"/>
    <col min="7184" max="7184" width="11.28515625" style="5" bestFit="1" customWidth="1"/>
    <col min="7185" max="7185" width="15.5703125" style="5" bestFit="1" customWidth="1"/>
    <col min="7186" max="7189" width="11" style="5" bestFit="1" customWidth="1"/>
    <col min="7190" max="7424" width="9.140625" style="5"/>
    <col min="7425" max="7425" width="52.140625" style="5" customWidth="1"/>
    <col min="7426" max="7426" width="23.28515625" style="5" bestFit="1" customWidth="1"/>
    <col min="7427" max="7437" width="21.5703125" style="5" bestFit="1" customWidth="1"/>
    <col min="7438" max="7438" width="29" style="5" bestFit="1" customWidth="1"/>
    <col min="7439" max="7439" width="20" style="5" bestFit="1" customWidth="1"/>
    <col min="7440" max="7440" width="11.28515625" style="5" bestFit="1" customWidth="1"/>
    <col min="7441" max="7441" width="15.5703125" style="5" bestFit="1" customWidth="1"/>
    <col min="7442" max="7445" width="11" style="5" bestFit="1" customWidth="1"/>
    <col min="7446" max="7680" width="9.140625" style="5"/>
    <col min="7681" max="7681" width="52.140625" style="5" customWidth="1"/>
    <col min="7682" max="7682" width="23.28515625" style="5" bestFit="1" customWidth="1"/>
    <col min="7683" max="7693" width="21.5703125" style="5" bestFit="1" customWidth="1"/>
    <col min="7694" max="7694" width="29" style="5" bestFit="1" customWidth="1"/>
    <col min="7695" max="7695" width="20" style="5" bestFit="1" customWidth="1"/>
    <col min="7696" max="7696" width="11.28515625" style="5" bestFit="1" customWidth="1"/>
    <col min="7697" max="7697" width="15.5703125" style="5" bestFit="1" customWidth="1"/>
    <col min="7698" max="7701" width="11" style="5" bestFit="1" customWidth="1"/>
    <col min="7702" max="7936" width="9.140625" style="5"/>
    <col min="7937" max="7937" width="52.140625" style="5" customWidth="1"/>
    <col min="7938" max="7938" width="23.28515625" style="5" bestFit="1" customWidth="1"/>
    <col min="7939" max="7949" width="21.5703125" style="5" bestFit="1" customWidth="1"/>
    <col min="7950" max="7950" width="29" style="5" bestFit="1" customWidth="1"/>
    <col min="7951" max="7951" width="20" style="5" bestFit="1" customWidth="1"/>
    <col min="7952" max="7952" width="11.28515625" style="5" bestFit="1" customWidth="1"/>
    <col min="7953" max="7953" width="15.5703125" style="5" bestFit="1" customWidth="1"/>
    <col min="7954" max="7957" width="11" style="5" bestFit="1" customWidth="1"/>
    <col min="7958" max="8192" width="9.140625" style="5"/>
    <col min="8193" max="8193" width="52.140625" style="5" customWidth="1"/>
    <col min="8194" max="8194" width="23.28515625" style="5" bestFit="1" customWidth="1"/>
    <col min="8195" max="8205" width="21.5703125" style="5" bestFit="1" customWidth="1"/>
    <col min="8206" max="8206" width="29" style="5" bestFit="1" customWidth="1"/>
    <col min="8207" max="8207" width="20" style="5" bestFit="1" customWidth="1"/>
    <col min="8208" max="8208" width="11.28515625" style="5" bestFit="1" customWidth="1"/>
    <col min="8209" max="8209" width="15.5703125" style="5" bestFit="1" customWidth="1"/>
    <col min="8210" max="8213" width="11" style="5" bestFit="1" customWidth="1"/>
    <col min="8214" max="8448" width="9.140625" style="5"/>
    <col min="8449" max="8449" width="52.140625" style="5" customWidth="1"/>
    <col min="8450" max="8450" width="23.28515625" style="5" bestFit="1" customWidth="1"/>
    <col min="8451" max="8461" width="21.5703125" style="5" bestFit="1" customWidth="1"/>
    <col min="8462" max="8462" width="29" style="5" bestFit="1" customWidth="1"/>
    <col min="8463" max="8463" width="20" style="5" bestFit="1" customWidth="1"/>
    <col min="8464" max="8464" width="11.28515625" style="5" bestFit="1" customWidth="1"/>
    <col min="8465" max="8465" width="15.5703125" style="5" bestFit="1" customWidth="1"/>
    <col min="8466" max="8469" width="11" style="5" bestFit="1" customWidth="1"/>
    <col min="8470" max="8704" width="9.140625" style="5"/>
    <col min="8705" max="8705" width="52.140625" style="5" customWidth="1"/>
    <col min="8706" max="8706" width="23.28515625" style="5" bestFit="1" customWidth="1"/>
    <col min="8707" max="8717" width="21.5703125" style="5" bestFit="1" customWidth="1"/>
    <col min="8718" max="8718" width="29" style="5" bestFit="1" customWidth="1"/>
    <col min="8719" max="8719" width="20" style="5" bestFit="1" customWidth="1"/>
    <col min="8720" max="8720" width="11.28515625" style="5" bestFit="1" customWidth="1"/>
    <col min="8721" max="8721" width="15.5703125" style="5" bestFit="1" customWidth="1"/>
    <col min="8722" max="8725" width="11" style="5" bestFit="1" customWidth="1"/>
    <col min="8726" max="8960" width="9.140625" style="5"/>
    <col min="8961" max="8961" width="52.140625" style="5" customWidth="1"/>
    <col min="8962" max="8962" width="23.28515625" style="5" bestFit="1" customWidth="1"/>
    <col min="8963" max="8973" width="21.5703125" style="5" bestFit="1" customWidth="1"/>
    <col min="8974" max="8974" width="29" style="5" bestFit="1" customWidth="1"/>
    <col min="8975" max="8975" width="20" style="5" bestFit="1" customWidth="1"/>
    <col min="8976" max="8976" width="11.28515625" style="5" bestFit="1" customWidth="1"/>
    <col min="8977" max="8977" width="15.5703125" style="5" bestFit="1" customWidth="1"/>
    <col min="8978" max="8981" width="11" style="5" bestFit="1" customWidth="1"/>
    <col min="8982" max="9216" width="9.140625" style="5"/>
    <col min="9217" max="9217" width="52.140625" style="5" customWidth="1"/>
    <col min="9218" max="9218" width="23.28515625" style="5" bestFit="1" customWidth="1"/>
    <col min="9219" max="9229" width="21.5703125" style="5" bestFit="1" customWidth="1"/>
    <col min="9230" max="9230" width="29" style="5" bestFit="1" customWidth="1"/>
    <col min="9231" max="9231" width="20" style="5" bestFit="1" customWidth="1"/>
    <col min="9232" max="9232" width="11.28515625" style="5" bestFit="1" customWidth="1"/>
    <col min="9233" max="9233" width="15.5703125" style="5" bestFit="1" customWidth="1"/>
    <col min="9234" max="9237" width="11" style="5" bestFit="1" customWidth="1"/>
    <col min="9238" max="9472" width="9.140625" style="5"/>
    <col min="9473" max="9473" width="52.140625" style="5" customWidth="1"/>
    <col min="9474" max="9474" width="23.28515625" style="5" bestFit="1" customWidth="1"/>
    <col min="9475" max="9485" width="21.5703125" style="5" bestFit="1" customWidth="1"/>
    <col min="9486" max="9486" width="29" style="5" bestFit="1" customWidth="1"/>
    <col min="9487" max="9487" width="20" style="5" bestFit="1" customWidth="1"/>
    <col min="9488" max="9488" width="11.28515625" style="5" bestFit="1" customWidth="1"/>
    <col min="9489" max="9489" width="15.5703125" style="5" bestFit="1" customWidth="1"/>
    <col min="9490" max="9493" width="11" style="5" bestFit="1" customWidth="1"/>
    <col min="9494" max="9728" width="9.140625" style="5"/>
    <col min="9729" max="9729" width="52.140625" style="5" customWidth="1"/>
    <col min="9730" max="9730" width="23.28515625" style="5" bestFit="1" customWidth="1"/>
    <col min="9731" max="9741" width="21.5703125" style="5" bestFit="1" customWidth="1"/>
    <col min="9742" max="9742" width="29" style="5" bestFit="1" customWidth="1"/>
    <col min="9743" max="9743" width="20" style="5" bestFit="1" customWidth="1"/>
    <col min="9744" max="9744" width="11.28515625" style="5" bestFit="1" customWidth="1"/>
    <col min="9745" max="9745" width="15.5703125" style="5" bestFit="1" customWidth="1"/>
    <col min="9746" max="9749" width="11" style="5" bestFit="1" customWidth="1"/>
    <col min="9750" max="9984" width="9.140625" style="5"/>
    <col min="9985" max="9985" width="52.140625" style="5" customWidth="1"/>
    <col min="9986" max="9986" width="23.28515625" style="5" bestFit="1" customWidth="1"/>
    <col min="9987" max="9997" width="21.5703125" style="5" bestFit="1" customWidth="1"/>
    <col min="9998" max="9998" width="29" style="5" bestFit="1" customWidth="1"/>
    <col min="9999" max="9999" width="20" style="5" bestFit="1" customWidth="1"/>
    <col min="10000" max="10000" width="11.28515625" style="5" bestFit="1" customWidth="1"/>
    <col min="10001" max="10001" width="15.5703125" style="5" bestFit="1" customWidth="1"/>
    <col min="10002" max="10005" width="11" style="5" bestFit="1" customWidth="1"/>
    <col min="10006" max="10240" width="9.140625" style="5"/>
    <col min="10241" max="10241" width="52.140625" style="5" customWidth="1"/>
    <col min="10242" max="10242" width="23.28515625" style="5" bestFit="1" customWidth="1"/>
    <col min="10243" max="10253" width="21.5703125" style="5" bestFit="1" customWidth="1"/>
    <col min="10254" max="10254" width="29" style="5" bestFit="1" customWidth="1"/>
    <col min="10255" max="10255" width="20" style="5" bestFit="1" customWidth="1"/>
    <col min="10256" max="10256" width="11.28515625" style="5" bestFit="1" customWidth="1"/>
    <col min="10257" max="10257" width="15.5703125" style="5" bestFit="1" customWidth="1"/>
    <col min="10258" max="10261" width="11" style="5" bestFit="1" customWidth="1"/>
    <col min="10262" max="10496" width="9.140625" style="5"/>
    <col min="10497" max="10497" width="52.140625" style="5" customWidth="1"/>
    <col min="10498" max="10498" width="23.28515625" style="5" bestFit="1" customWidth="1"/>
    <col min="10499" max="10509" width="21.5703125" style="5" bestFit="1" customWidth="1"/>
    <col min="10510" max="10510" width="29" style="5" bestFit="1" customWidth="1"/>
    <col min="10511" max="10511" width="20" style="5" bestFit="1" customWidth="1"/>
    <col min="10512" max="10512" width="11.28515625" style="5" bestFit="1" customWidth="1"/>
    <col min="10513" max="10513" width="15.5703125" style="5" bestFit="1" customWidth="1"/>
    <col min="10514" max="10517" width="11" style="5" bestFit="1" customWidth="1"/>
    <col min="10518" max="10752" width="9.140625" style="5"/>
    <col min="10753" max="10753" width="52.140625" style="5" customWidth="1"/>
    <col min="10754" max="10754" width="23.28515625" style="5" bestFit="1" customWidth="1"/>
    <col min="10755" max="10765" width="21.5703125" style="5" bestFit="1" customWidth="1"/>
    <col min="10766" max="10766" width="29" style="5" bestFit="1" customWidth="1"/>
    <col min="10767" max="10767" width="20" style="5" bestFit="1" customWidth="1"/>
    <col min="10768" max="10768" width="11.28515625" style="5" bestFit="1" customWidth="1"/>
    <col min="10769" max="10769" width="15.5703125" style="5" bestFit="1" customWidth="1"/>
    <col min="10770" max="10773" width="11" style="5" bestFit="1" customWidth="1"/>
    <col min="10774" max="11008" width="9.140625" style="5"/>
    <col min="11009" max="11009" width="52.140625" style="5" customWidth="1"/>
    <col min="11010" max="11010" width="23.28515625" style="5" bestFit="1" customWidth="1"/>
    <col min="11011" max="11021" width="21.5703125" style="5" bestFit="1" customWidth="1"/>
    <col min="11022" max="11022" width="29" style="5" bestFit="1" customWidth="1"/>
    <col min="11023" max="11023" width="20" style="5" bestFit="1" customWidth="1"/>
    <col min="11024" max="11024" width="11.28515625" style="5" bestFit="1" customWidth="1"/>
    <col min="11025" max="11025" width="15.5703125" style="5" bestFit="1" customWidth="1"/>
    <col min="11026" max="11029" width="11" style="5" bestFit="1" customWidth="1"/>
    <col min="11030" max="11264" width="9.140625" style="5"/>
    <col min="11265" max="11265" width="52.140625" style="5" customWidth="1"/>
    <col min="11266" max="11266" width="23.28515625" style="5" bestFit="1" customWidth="1"/>
    <col min="11267" max="11277" width="21.5703125" style="5" bestFit="1" customWidth="1"/>
    <col min="11278" max="11278" width="29" style="5" bestFit="1" customWidth="1"/>
    <col min="11279" max="11279" width="20" style="5" bestFit="1" customWidth="1"/>
    <col min="11280" max="11280" width="11.28515625" style="5" bestFit="1" customWidth="1"/>
    <col min="11281" max="11281" width="15.5703125" style="5" bestFit="1" customWidth="1"/>
    <col min="11282" max="11285" width="11" style="5" bestFit="1" customWidth="1"/>
    <col min="11286" max="11520" width="9.140625" style="5"/>
    <col min="11521" max="11521" width="52.140625" style="5" customWidth="1"/>
    <col min="11522" max="11522" width="23.28515625" style="5" bestFit="1" customWidth="1"/>
    <col min="11523" max="11533" width="21.5703125" style="5" bestFit="1" customWidth="1"/>
    <col min="11534" max="11534" width="29" style="5" bestFit="1" customWidth="1"/>
    <col min="11535" max="11535" width="20" style="5" bestFit="1" customWidth="1"/>
    <col min="11536" max="11536" width="11.28515625" style="5" bestFit="1" customWidth="1"/>
    <col min="11537" max="11537" width="15.5703125" style="5" bestFit="1" customWidth="1"/>
    <col min="11538" max="11541" width="11" style="5" bestFit="1" customWidth="1"/>
    <col min="11542" max="11776" width="9.140625" style="5"/>
    <col min="11777" max="11777" width="52.140625" style="5" customWidth="1"/>
    <col min="11778" max="11778" width="23.28515625" style="5" bestFit="1" customWidth="1"/>
    <col min="11779" max="11789" width="21.5703125" style="5" bestFit="1" customWidth="1"/>
    <col min="11790" max="11790" width="29" style="5" bestFit="1" customWidth="1"/>
    <col min="11791" max="11791" width="20" style="5" bestFit="1" customWidth="1"/>
    <col min="11792" max="11792" width="11.28515625" style="5" bestFit="1" customWidth="1"/>
    <col min="11793" max="11793" width="15.5703125" style="5" bestFit="1" customWidth="1"/>
    <col min="11794" max="11797" width="11" style="5" bestFit="1" customWidth="1"/>
    <col min="11798" max="12032" width="9.140625" style="5"/>
    <col min="12033" max="12033" width="52.140625" style="5" customWidth="1"/>
    <col min="12034" max="12034" width="23.28515625" style="5" bestFit="1" customWidth="1"/>
    <col min="12035" max="12045" width="21.5703125" style="5" bestFit="1" customWidth="1"/>
    <col min="12046" max="12046" width="29" style="5" bestFit="1" customWidth="1"/>
    <col min="12047" max="12047" width="20" style="5" bestFit="1" customWidth="1"/>
    <col min="12048" max="12048" width="11.28515625" style="5" bestFit="1" customWidth="1"/>
    <col min="12049" max="12049" width="15.5703125" style="5" bestFit="1" customWidth="1"/>
    <col min="12050" max="12053" width="11" style="5" bestFit="1" customWidth="1"/>
    <col min="12054" max="12288" width="9.140625" style="5"/>
    <col min="12289" max="12289" width="52.140625" style="5" customWidth="1"/>
    <col min="12290" max="12290" width="23.28515625" style="5" bestFit="1" customWidth="1"/>
    <col min="12291" max="12301" width="21.5703125" style="5" bestFit="1" customWidth="1"/>
    <col min="12302" max="12302" width="29" style="5" bestFit="1" customWidth="1"/>
    <col min="12303" max="12303" width="20" style="5" bestFit="1" customWidth="1"/>
    <col min="12304" max="12304" width="11.28515625" style="5" bestFit="1" customWidth="1"/>
    <col min="12305" max="12305" width="15.5703125" style="5" bestFit="1" customWidth="1"/>
    <col min="12306" max="12309" width="11" style="5" bestFit="1" customWidth="1"/>
    <col min="12310" max="12544" width="9.140625" style="5"/>
    <col min="12545" max="12545" width="52.140625" style="5" customWidth="1"/>
    <col min="12546" max="12546" width="23.28515625" style="5" bestFit="1" customWidth="1"/>
    <col min="12547" max="12557" width="21.5703125" style="5" bestFit="1" customWidth="1"/>
    <col min="12558" max="12558" width="29" style="5" bestFit="1" customWidth="1"/>
    <col min="12559" max="12559" width="20" style="5" bestFit="1" customWidth="1"/>
    <col min="12560" max="12560" width="11.28515625" style="5" bestFit="1" customWidth="1"/>
    <col min="12561" max="12561" width="15.5703125" style="5" bestFit="1" customWidth="1"/>
    <col min="12562" max="12565" width="11" style="5" bestFit="1" customWidth="1"/>
    <col min="12566" max="12800" width="9.140625" style="5"/>
    <col min="12801" max="12801" width="52.140625" style="5" customWidth="1"/>
    <col min="12802" max="12802" width="23.28515625" style="5" bestFit="1" customWidth="1"/>
    <col min="12803" max="12813" width="21.5703125" style="5" bestFit="1" customWidth="1"/>
    <col min="12814" max="12814" width="29" style="5" bestFit="1" customWidth="1"/>
    <col min="12815" max="12815" width="20" style="5" bestFit="1" customWidth="1"/>
    <col min="12816" max="12816" width="11.28515625" style="5" bestFit="1" customWidth="1"/>
    <col min="12817" max="12817" width="15.5703125" style="5" bestFit="1" customWidth="1"/>
    <col min="12818" max="12821" width="11" style="5" bestFit="1" customWidth="1"/>
    <col min="12822" max="13056" width="9.140625" style="5"/>
    <col min="13057" max="13057" width="52.140625" style="5" customWidth="1"/>
    <col min="13058" max="13058" width="23.28515625" style="5" bestFit="1" customWidth="1"/>
    <col min="13059" max="13069" width="21.5703125" style="5" bestFit="1" customWidth="1"/>
    <col min="13070" max="13070" width="29" style="5" bestFit="1" customWidth="1"/>
    <col min="13071" max="13071" width="20" style="5" bestFit="1" customWidth="1"/>
    <col min="13072" max="13072" width="11.28515625" style="5" bestFit="1" customWidth="1"/>
    <col min="13073" max="13073" width="15.5703125" style="5" bestFit="1" customWidth="1"/>
    <col min="13074" max="13077" width="11" style="5" bestFit="1" customWidth="1"/>
    <col min="13078" max="13312" width="9.140625" style="5"/>
    <col min="13313" max="13313" width="52.140625" style="5" customWidth="1"/>
    <col min="13314" max="13314" width="23.28515625" style="5" bestFit="1" customWidth="1"/>
    <col min="13315" max="13325" width="21.5703125" style="5" bestFit="1" customWidth="1"/>
    <col min="13326" max="13326" width="29" style="5" bestFit="1" customWidth="1"/>
    <col min="13327" max="13327" width="20" style="5" bestFit="1" customWidth="1"/>
    <col min="13328" max="13328" width="11.28515625" style="5" bestFit="1" customWidth="1"/>
    <col min="13329" max="13329" width="15.5703125" style="5" bestFit="1" customWidth="1"/>
    <col min="13330" max="13333" width="11" style="5" bestFit="1" customWidth="1"/>
    <col min="13334" max="13568" width="9.140625" style="5"/>
    <col min="13569" max="13569" width="52.140625" style="5" customWidth="1"/>
    <col min="13570" max="13570" width="23.28515625" style="5" bestFit="1" customWidth="1"/>
    <col min="13571" max="13581" width="21.5703125" style="5" bestFit="1" customWidth="1"/>
    <col min="13582" max="13582" width="29" style="5" bestFit="1" customWidth="1"/>
    <col min="13583" max="13583" width="20" style="5" bestFit="1" customWidth="1"/>
    <col min="13584" max="13584" width="11.28515625" style="5" bestFit="1" customWidth="1"/>
    <col min="13585" max="13585" width="15.5703125" style="5" bestFit="1" customWidth="1"/>
    <col min="13586" max="13589" width="11" style="5" bestFit="1" customWidth="1"/>
    <col min="13590" max="13824" width="9.140625" style="5"/>
    <col min="13825" max="13825" width="52.140625" style="5" customWidth="1"/>
    <col min="13826" max="13826" width="23.28515625" style="5" bestFit="1" customWidth="1"/>
    <col min="13827" max="13837" width="21.5703125" style="5" bestFit="1" customWidth="1"/>
    <col min="13838" max="13838" width="29" style="5" bestFit="1" customWidth="1"/>
    <col min="13839" max="13839" width="20" style="5" bestFit="1" customWidth="1"/>
    <col min="13840" max="13840" width="11.28515625" style="5" bestFit="1" customWidth="1"/>
    <col min="13841" max="13841" width="15.5703125" style="5" bestFit="1" customWidth="1"/>
    <col min="13842" max="13845" width="11" style="5" bestFit="1" customWidth="1"/>
    <col min="13846" max="14080" width="9.140625" style="5"/>
    <col min="14081" max="14081" width="52.140625" style="5" customWidth="1"/>
    <col min="14082" max="14082" width="23.28515625" style="5" bestFit="1" customWidth="1"/>
    <col min="14083" max="14093" width="21.5703125" style="5" bestFit="1" customWidth="1"/>
    <col min="14094" max="14094" width="29" style="5" bestFit="1" customWidth="1"/>
    <col min="14095" max="14095" width="20" style="5" bestFit="1" customWidth="1"/>
    <col min="14096" max="14096" width="11.28515625" style="5" bestFit="1" customWidth="1"/>
    <col min="14097" max="14097" width="15.5703125" style="5" bestFit="1" customWidth="1"/>
    <col min="14098" max="14101" width="11" style="5" bestFit="1" customWidth="1"/>
    <col min="14102" max="14336" width="9.140625" style="5"/>
    <col min="14337" max="14337" width="52.140625" style="5" customWidth="1"/>
    <col min="14338" max="14338" width="23.28515625" style="5" bestFit="1" customWidth="1"/>
    <col min="14339" max="14349" width="21.5703125" style="5" bestFit="1" customWidth="1"/>
    <col min="14350" max="14350" width="29" style="5" bestFit="1" customWidth="1"/>
    <col min="14351" max="14351" width="20" style="5" bestFit="1" customWidth="1"/>
    <col min="14352" max="14352" width="11.28515625" style="5" bestFit="1" customWidth="1"/>
    <col min="14353" max="14353" width="15.5703125" style="5" bestFit="1" customWidth="1"/>
    <col min="14354" max="14357" width="11" style="5" bestFit="1" customWidth="1"/>
    <col min="14358" max="14592" width="9.140625" style="5"/>
    <col min="14593" max="14593" width="52.140625" style="5" customWidth="1"/>
    <col min="14594" max="14594" width="23.28515625" style="5" bestFit="1" customWidth="1"/>
    <col min="14595" max="14605" width="21.5703125" style="5" bestFit="1" customWidth="1"/>
    <col min="14606" max="14606" width="29" style="5" bestFit="1" customWidth="1"/>
    <col min="14607" max="14607" width="20" style="5" bestFit="1" customWidth="1"/>
    <col min="14608" max="14608" width="11.28515625" style="5" bestFit="1" customWidth="1"/>
    <col min="14609" max="14609" width="15.5703125" style="5" bestFit="1" customWidth="1"/>
    <col min="14610" max="14613" width="11" style="5" bestFit="1" customWidth="1"/>
    <col min="14614" max="14848" width="9.140625" style="5"/>
    <col min="14849" max="14849" width="52.140625" style="5" customWidth="1"/>
    <col min="14850" max="14850" width="23.28515625" style="5" bestFit="1" customWidth="1"/>
    <col min="14851" max="14861" width="21.5703125" style="5" bestFit="1" customWidth="1"/>
    <col min="14862" max="14862" width="29" style="5" bestFit="1" customWidth="1"/>
    <col min="14863" max="14863" width="20" style="5" bestFit="1" customWidth="1"/>
    <col min="14864" max="14864" width="11.28515625" style="5" bestFit="1" customWidth="1"/>
    <col min="14865" max="14865" width="15.5703125" style="5" bestFit="1" customWidth="1"/>
    <col min="14866" max="14869" width="11" style="5" bestFit="1" customWidth="1"/>
    <col min="14870" max="15104" width="9.140625" style="5"/>
    <col min="15105" max="15105" width="52.140625" style="5" customWidth="1"/>
    <col min="15106" max="15106" width="23.28515625" style="5" bestFit="1" customWidth="1"/>
    <col min="15107" max="15117" width="21.5703125" style="5" bestFit="1" customWidth="1"/>
    <col min="15118" max="15118" width="29" style="5" bestFit="1" customWidth="1"/>
    <col min="15119" max="15119" width="20" style="5" bestFit="1" customWidth="1"/>
    <col min="15120" max="15120" width="11.28515625" style="5" bestFit="1" customWidth="1"/>
    <col min="15121" max="15121" width="15.5703125" style="5" bestFit="1" customWidth="1"/>
    <col min="15122" max="15125" width="11" style="5" bestFit="1" customWidth="1"/>
    <col min="15126" max="15360" width="9.140625" style="5"/>
    <col min="15361" max="15361" width="52.140625" style="5" customWidth="1"/>
    <col min="15362" max="15362" width="23.28515625" style="5" bestFit="1" customWidth="1"/>
    <col min="15363" max="15373" width="21.5703125" style="5" bestFit="1" customWidth="1"/>
    <col min="15374" max="15374" width="29" style="5" bestFit="1" customWidth="1"/>
    <col min="15375" max="15375" width="20" style="5" bestFit="1" customWidth="1"/>
    <col min="15376" max="15376" width="11.28515625" style="5" bestFit="1" customWidth="1"/>
    <col min="15377" max="15377" width="15.5703125" style="5" bestFit="1" customWidth="1"/>
    <col min="15378" max="15381" width="11" style="5" bestFit="1" customWidth="1"/>
    <col min="15382" max="15616" width="9.140625" style="5"/>
    <col min="15617" max="15617" width="52.140625" style="5" customWidth="1"/>
    <col min="15618" max="15618" width="23.28515625" style="5" bestFit="1" customWidth="1"/>
    <col min="15619" max="15629" width="21.5703125" style="5" bestFit="1" customWidth="1"/>
    <col min="15630" max="15630" width="29" style="5" bestFit="1" customWidth="1"/>
    <col min="15631" max="15631" width="20" style="5" bestFit="1" customWidth="1"/>
    <col min="15632" max="15632" width="11.28515625" style="5" bestFit="1" customWidth="1"/>
    <col min="15633" max="15633" width="15.5703125" style="5" bestFit="1" customWidth="1"/>
    <col min="15634" max="15637" width="11" style="5" bestFit="1" customWidth="1"/>
    <col min="15638" max="15872" width="9.140625" style="5"/>
    <col min="15873" max="15873" width="52.140625" style="5" customWidth="1"/>
    <col min="15874" max="15874" width="23.28515625" style="5" bestFit="1" customWidth="1"/>
    <col min="15875" max="15885" width="21.5703125" style="5" bestFit="1" customWidth="1"/>
    <col min="15886" max="15886" width="29" style="5" bestFit="1" customWidth="1"/>
    <col min="15887" max="15887" width="20" style="5" bestFit="1" customWidth="1"/>
    <col min="15888" max="15888" width="11.28515625" style="5" bestFit="1" customWidth="1"/>
    <col min="15889" max="15889" width="15.5703125" style="5" bestFit="1" customWidth="1"/>
    <col min="15890" max="15893" width="11" style="5" bestFit="1" customWidth="1"/>
    <col min="15894" max="16128" width="9.140625" style="5"/>
    <col min="16129" max="16129" width="52.140625" style="5" customWidth="1"/>
    <col min="16130" max="16130" width="23.28515625" style="5" bestFit="1" customWidth="1"/>
    <col min="16131" max="16141" width="21.5703125" style="5" bestFit="1" customWidth="1"/>
    <col min="16142" max="16142" width="29" style="5" bestFit="1" customWidth="1"/>
    <col min="16143" max="16143" width="20" style="5" bestFit="1" customWidth="1"/>
    <col min="16144" max="16144" width="11.28515625" style="5" bestFit="1" customWidth="1"/>
    <col min="16145" max="16145" width="15.5703125" style="5" bestFit="1" customWidth="1"/>
    <col min="16146" max="16149" width="11" style="5" bestFit="1" customWidth="1"/>
    <col min="16150" max="16384" width="9.140625" style="5"/>
  </cols>
  <sheetData>
    <row r="2" spans="1:17" s="3" customFormat="1" ht="33.75" x14ac:dyDescent="0.3">
      <c r="A2" s="2" t="s">
        <v>34</v>
      </c>
    </row>
    <row r="3" spans="1:17" s="3" customFormat="1" ht="26.25" x14ac:dyDescent="0.3">
      <c r="A3" s="4"/>
    </row>
    <row r="5" spans="1:17" s="7" customFormat="1" ht="19.5" x14ac:dyDescent="0.3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N5" s="6" t="s">
        <v>23</v>
      </c>
      <c r="O5" s="3"/>
      <c r="P5" s="3"/>
    </row>
    <row r="6" spans="1:17" s="12" customFormat="1" ht="27.75" customHeight="1" x14ac:dyDescent="0.3">
      <c r="A6" s="8" t="s">
        <v>24</v>
      </c>
      <c r="B6" s="9">
        <f>($N$6/12)</f>
        <v>84416666.666666672</v>
      </c>
      <c r="C6" s="9">
        <f t="shared" ref="C6:M6" si="0">($N$6/12)</f>
        <v>84416666.666666672</v>
      </c>
      <c r="D6" s="9">
        <f t="shared" si="0"/>
        <v>84416666.666666672</v>
      </c>
      <c r="E6" s="9">
        <f t="shared" si="0"/>
        <v>84416666.666666672</v>
      </c>
      <c r="F6" s="9">
        <f t="shared" si="0"/>
        <v>84416666.666666672</v>
      </c>
      <c r="G6" s="9">
        <f t="shared" si="0"/>
        <v>84416666.666666672</v>
      </c>
      <c r="H6" s="9">
        <f t="shared" si="0"/>
        <v>84416666.666666672</v>
      </c>
      <c r="I6" s="9">
        <f t="shared" si="0"/>
        <v>84416666.666666672</v>
      </c>
      <c r="J6" s="9">
        <f t="shared" si="0"/>
        <v>84416666.666666672</v>
      </c>
      <c r="K6" s="9">
        <f t="shared" si="0"/>
        <v>84416666.666666672</v>
      </c>
      <c r="L6" s="9">
        <f t="shared" si="0"/>
        <v>84416666.666666672</v>
      </c>
      <c r="M6" s="9">
        <f t="shared" si="0"/>
        <v>84416666.666666672</v>
      </c>
      <c r="N6" s="10">
        <v>1013000000</v>
      </c>
      <c r="O6" s="3"/>
      <c r="P6" s="3"/>
    </row>
    <row r="7" spans="1:17" s="12" customFormat="1" ht="27.75" customHeight="1" x14ac:dyDescent="0.3">
      <c r="A7" s="13" t="s">
        <v>25</v>
      </c>
      <c r="B7" s="9">
        <v>62844099.030000001</v>
      </c>
      <c r="C7" s="9">
        <v>71107409.859999999</v>
      </c>
      <c r="D7" s="9">
        <v>75044984.989999995</v>
      </c>
      <c r="E7" s="9">
        <v>91828183.739999995</v>
      </c>
      <c r="F7" s="9">
        <v>77415932.5</v>
      </c>
      <c r="G7" s="9">
        <v>75166762.640000001</v>
      </c>
      <c r="H7" s="9">
        <v>70888043.189999998</v>
      </c>
      <c r="I7" s="9">
        <f>AVERAGE(B7:H7)</f>
        <v>74899345.135714278</v>
      </c>
      <c r="J7" s="9">
        <f>AVERAGE(B7:I7)</f>
        <v>74899345.135714278</v>
      </c>
      <c r="K7" s="9">
        <f>AVERAGE(B7:J7)</f>
        <v>74899345.135714278</v>
      </c>
      <c r="L7" s="9">
        <f>AVERAGE(B7:K7)</f>
        <v>74899345.135714278</v>
      </c>
      <c r="M7" s="9">
        <f>AVERAGE(B7:L7)</f>
        <v>74899345.135714278</v>
      </c>
      <c r="N7" s="14">
        <f>SUM(B7:M7)</f>
        <v>898792141.62857139</v>
      </c>
      <c r="O7" s="3"/>
      <c r="P7" s="3"/>
      <c r="Q7" s="15"/>
    </row>
    <row r="8" spans="1:17" s="12" customFormat="1" ht="27.75" customHeight="1" x14ac:dyDescent="0.3">
      <c r="A8" s="16" t="s">
        <v>37</v>
      </c>
      <c r="B8" s="17">
        <v>154635427.19999999</v>
      </c>
      <c r="C8" s="17">
        <v>65867006.619999997</v>
      </c>
      <c r="D8" s="17">
        <v>54581181.280000001</v>
      </c>
      <c r="E8" s="17">
        <v>41371067.399999999</v>
      </c>
      <c r="F8" s="17">
        <v>80184171.170000002</v>
      </c>
      <c r="G8" s="17">
        <v>92382151.069999993</v>
      </c>
      <c r="H8" s="9">
        <v>99462564.390000001</v>
      </c>
      <c r="I8" s="9"/>
      <c r="J8" s="9"/>
      <c r="K8" s="9"/>
      <c r="L8" s="9"/>
      <c r="M8" s="9"/>
      <c r="N8" s="10">
        <f>SUM(B8:M8)</f>
        <v>588483569.13</v>
      </c>
      <c r="O8" s="3"/>
      <c r="P8" s="3"/>
      <c r="Q8" s="11"/>
    </row>
    <row r="9" spans="1:17" s="12" customFormat="1" ht="27.75" customHeight="1" x14ac:dyDescent="0.3">
      <c r="A9" s="8" t="s">
        <v>38</v>
      </c>
      <c r="B9" s="9">
        <f>B7-B8</f>
        <v>-91791328.169999987</v>
      </c>
      <c r="C9" s="9">
        <f t="shared" ref="C9:M9" si="1">C7-C8</f>
        <v>5240403.2400000021</v>
      </c>
      <c r="D9" s="9">
        <f t="shared" si="1"/>
        <v>20463803.709999993</v>
      </c>
      <c r="E9" s="9">
        <f t="shared" si="1"/>
        <v>50457116.339999996</v>
      </c>
      <c r="F9" s="9">
        <f t="shared" si="1"/>
        <v>-2768238.6700000018</v>
      </c>
      <c r="G9" s="9">
        <f>G7-G8</f>
        <v>-17215388.429999992</v>
      </c>
      <c r="H9" s="9">
        <f t="shared" si="1"/>
        <v>-28574521.200000003</v>
      </c>
      <c r="I9" s="9">
        <f t="shared" si="1"/>
        <v>74899345.135714278</v>
      </c>
      <c r="J9" s="9">
        <f t="shared" si="1"/>
        <v>74899345.135714278</v>
      </c>
      <c r="K9" s="9">
        <f t="shared" si="1"/>
        <v>74899345.135714278</v>
      </c>
      <c r="L9" s="9">
        <f t="shared" si="1"/>
        <v>74899345.135714278</v>
      </c>
      <c r="M9" s="9">
        <f t="shared" si="1"/>
        <v>74899345.135714278</v>
      </c>
      <c r="N9" s="18">
        <f>SUM(B9:M9)</f>
        <v>310308572.49857146</v>
      </c>
      <c r="O9" s="3"/>
      <c r="P9" s="3"/>
      <c r="Q9" s="15"/>
    </row>
    <row r="10" spans="1:17" s="12" customFormat="1" ht="27.75" hidden="1" customHeight="1" x14ac:dyDescent="0.3">
      <c r="A10" s="19" t="s">
        <v>33</v>
      </c>
      <c r="B10" s="20">
        <f t="shared" ref="B10:M10" si="2">B7/B6</f>
        <v>0.74445132118460022</v>
      </c>
      <c r="C10" s="20">
        <f t="shared" si="2"/>
        <v>0.84233851759131284</v>
      </c>
      <c r="D10" s="20">
        <f t="shared" si="2"/>
        <v>0.88898304035537989</v>
      </c>
      <c r="E10" s="20">
        <f t="shared" si="2"/>
        <v>1.0877968458835141</v>
      </c>
      <c r="F10" s="20">
        <f t="shared" si="2"/>
        <v>0.91706928923988151</v>
      </c>
      <c r="G10" s="20">
        <f t="shared" si="2"/>
        <v>0.89042561863770975</v>
      </c>
      <c r="H10" s="20">
        <f t="shared" si="2"/>
        <v>0.83973989958538986</v>
      </c>
      <c r="I10" s="20">
        <f t="shared" si="2"/>
        <v>0.88725779035396968</v>
      </c>
      <c r="J10" s="20">
        <f t="shared" si="2"/>
        <v>0.88725779035396968</v>
      </c>
      <c r="K10" s="20">
        <f t="shared" si="2"/>
        <v>0.88725779035396968</v>
      </c>
      <c r="L10" s="20">
        <f t="shared" si="2"/>
        <v>0.88725779035396968</v>
      </c>
      <c r="M10" s="20">
        <f t="shared" si="2"/>
        <v>0.88725779035396968</v>
      </c>
      <c r="N10" s="21">
        <f>N7/N6</f>
        <v>0.88725779035396979</v>
      </c>
      <c r="O10" s="3"/>
      <c r="Q10" s="15"/>
    </row>
    <row r="11" spans="1:17" s="12" customFormat="1" ht="27.75" hidden="1" customHeight="1" x14ac:dyDescent="0.3">
      <c r="A11" s="19" t="s">
        <v>28</v>
      </c>
      <c r="B11" s="20">
        <f t="shared" ref="B11:M11" si="3">B8/B6</f>
        <v>1.831811575913129</v>
      </c>
      <c r="C11" s="20">
        <f t="shared" si="3"/>
        <v>0.78026069046396829</v>
      </c>
      <c r="D11" s="20">
        <f t="shared" si="3"/>
        <v>0.64656878120434347</v>
      </c>
      <c r="E11" s="20">
        <f t="shared" si="3"/>
        <v>0.490081746100691</v>
      </c>
      <c r="F11" s="20">
        <f t="shared" si="3"/>
        <v>0.94986184999012835</v>
      </c>
      <c r="G11" s="20">
        <f t="shared" si="3"/>
        <v>1.0943591439684106</v>
      </c>
      <c r="H11" s="20">
        <f t="shared" si="3"/>
        <v>1.178233734136229</v>
      </c>
      <c r="I11" s="20">
        <f t="shared" si="3"/>
        <v>0</v>
      </c>
      <c r="J11" s="20">
        <f t="shared" si="3"/>
        <v>0</v>
      </c>
      <c r="K11" s="20">
        <f t="shared" si="3"/>
        <v>0</v>
      </c>
      <c r="L11" s="20">
        <f t="shared" si="3"/>
        <v>0</v>
      </c>
      <c r="M11" s="20">
        <f t="shared" si="3"/>
        <v>0</v>
      </c>
      <c r="N11" s="21">
        <f>N8/N6</f>
        <v>0.58093146014807506</v>
      </c>
      <c r="O11" s="3"/>
      <c r="Q11" s="15"/>
    </row>
    <row r="12" spans="1:17" s="12" customFormat="1" ht="27.75" hidden="1" customHeight="1" x14ac:dyDescent="0.3">
      <c r="A12" s="19" t="s">
        <v>29</v>
      </c>
      <c r="B12" s="20">
        <f>B6/N6</f>
        <v>8.3333333333333343E-2</v>
      </c>
      <c r="C12" s="20">
        <f>C6/N6</f>
        <v>8.3333333333333343E-2</v>
      </c>
      <c r="D12" s="20">
        <f>D6/N6</f>
        <v>8.3333333333333343E-2</v>
      </c>
      <c r="E12" s="20">
        <f>E6/N6</f>
        <v>8.3333333333333343E-2</v>
      </c>
      <c r="F12" s="20">
        <f>F6/N6</f>
        <v>8.3333333333333343E-2</v>
      </c>
      <c r="G12" s="20">
        <f>G6/N6</f>
        <v>8.3333333333333343E-2</v>
      </c>
      <c r="H12" s="20">
        <f>H6/N6</f>
        <v>8.3333333333333343E-2</v>
      </c>
      <c r="I12" s="20">
        <f>I6/N6</f>
        <v>8.3333333333333343E-2</v>
      </c>
      <c r="J12" s="20">
        <f>J6/N6</f>
        <v>8.3333333333333343E-2</v>
      </c>
      <c r="K12" s="20">
        <f>K6/N6</f>
        <v>8.3333333333333343E-2</v>
      </c>
      <c r="L12" s="20">
        <f>L6/N6</f>
        <v>8.3333333333333343E-2</v>
      </c>
      <c r="M12" s="20">
        <f>M6/N6</f>
        <v>8.3333333333333343E-2</v>
      </c>
      <c r="N12" s="21">
        <f>SUM(B12:M12)</f>
        <v>1.0000000000000002</v>
      </c>
      <c r="O12" s="3"/>
      <c r="Q12" s="15"/>
    </row>
    <row r="13" spans="1:17" s="12" customFormat="1" ht="27.75" hidden="1" customHeight="1" x14ac:dyDescent="0.3">
      <c r="A13" s="22" t="s">
        <v>30</v>
      </c>
      <c r="B13" s="20">
        <f>B7/N6</f>
        <v>6.2037610098716688E-2</v>
      </c>
      <c r="C13" s="20">
        <f>C7/N6</f>
        <v>7.0194876465942746E-2</v>
      </c>
      <c r="D13" s="20">
        <f>D7/N6</f>
        <v>7.4081920029615E-2</v>
      </c>
      <c r="E13" s="20">
        <f>E7/N6</f>
        <v>9.0649737156959523E-2</v>
      </c>
      <c r="F13" s="20">
        <f>F7/N6</f>
        <v>7.6422440769990121E-2</v>
      </c>
      <c r="G13" s="20">
        <f>G7/N6</f>
        <v>7.4202134886475812E-2</v>
      </c>
      <c r="H13" s="20">
        <f>H7/N6</f>
        <v>6.997832496544916E-2</v>
      </c>
      <c r="I13" s="20">
        <f>I7/N6</f>
        <v>7.3938149196164149E-2</v>
      </c>
      <c r="J13" s="20">
        <f>J7/N6</f>
        <v>7.3938149196164149E-2</v>
      </c>
      <c r="K13" s="20">
        <f>K7/N6</f>
        <v>7.3938149196164149E-2</v>
      </c>
      <c r="L13" s="20">
        <f>L7/N6</f>
        <v>7.3938149196164149E-2</v>
      </c>
      <c r="M13" s="20">
        <f>M7/N6</f>
        <v>7.3938149196164149E-2</v>
      </c>
      <c r="N13" s="21">
        <f>SUM(B13:M13)</f>
        <v>0.88725779035396979</v>
      </c>
      <c r="O13" s="3"/>
      <c r="Q13" s="15"/>
    </row>
    <row r="14" spans="1:17" s="12" customFormat="1" ht="27.75" hidden="1" customHeight="1" x14ac:dyDescent="0.3">
      <c r="A14" s="23" t="s">
        <v>35</v>
      </c>
      <c r="B14" s="20">
        <f>B8/N6</f>
        <v>0.15265096465942743</v>
      </c>
      <c r="C14" s="20">
        <f>C8/N6</f>
        <v>6.50217242053307E-2</v>
      </c>
      <c r="D14" s="20">
        <f>D8/N6</f>
        <v>5.3880731767028629E-2</v>
      </c>
      <c r="E14" s="20">
        <f>E8/N6</f>
        <v>4.0840145508390914E-2</v>
      </c>
      <c r="F14" s="20">
        <f>F8/N6</f>
        <v>7.9155154165844024E-2</v>
      </c>
      <c r="G14" s="20">
        <f>G8/N6</f>
        <v>9.1196595330700875E-2</v>
      </c>
      <c r="H14" s="20">
        <f>H8/N6</f>
        <v>9.8186144511352422E-2</v>
      </c>
      <c r="I14" s="20">
        <f>I8/N6</f>
        <v>0</v>
      </c>
      <c r="J14" s="20">
        <f>J8/N6</f>
        <v>0</v>
      </c>
      <c r="K14" s="20">
        <f>K8/N6</f>
        <v>0</v>
      </c>
      <c r="L14" s="20">
        <f>L8/N6</f>
        <v>0</v>
      </c>
      <c r="M14" s="20">
        <f>M8/N6</f>
        <v>0</v>
      </c>
      <c r="N14" s="21">
        <f>SUM(B14:M14)</f>
        <v>0.58093146014807506</v>
      </c>
      <c r="O14" s="3"/>
      <c r="Q14" s="15"/>
    </row>
    <row r="15" spans="1:17" ht="24.95" customHeight="1" x14ac:dyDescent="0.3">
      <c r="A15" s="24" t="s">
        <v>36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3"/>
    </row>
    <row r="16" spans="1:17" ht="24.95" customHeight="1" x14ac:dyDescent="0.25">
      <c r="A16" s="24" t="s">
        <v>31</v>
      </c>
      <c r="I16" s="25"/>
      <c r="J16" s="25"/>
    </row>
    <row r="17" spans="5:21" x14ac:dyDescent="0.25">
      <c r="E17" s="25"/>
      <c r="F17" s="25"/>
      <c r="G17" s="25"/>
      <c r="H17" s="25"/>
      <c r="N17" s="25">
        <f>N6-N7</f>
        <v>114207858.37142861</v>
      </c>
    </row>
    <row r="19" spans="5:21" x14ac:dyDescent="0.25">
      <c r="Q19" s="26"/>
    </row>
    <row r="21" spans="5:21" x14ac:dyDescent="0.25">
      <c r="Q21" s="25"/>
      <c r="R21" s="25"/>
      <c r="S21" s="25"/>
      <c r="T21" s="25"/>
      <c r="U21" s="25"/>
    </row>
    <row r="28" spans="5:21" x14ac:dyDescent="0.25">
      <c r="U28"/>
    </row>
    <row r="58" spans="1:1" ht="24.95" customHeight="1" x14ac:dyDescent="0.25">
      <c r="A58" s="24" t="s">
        <v>36</v>
      </c>
    </row>
    <row r="59" spans="1:1" ht="24.95" customHeight="1" x14ac:dyDescent="0.25">
      <c r="A59" s="24" t="s">
        <v>31</v>
      </c>
    </row>
  </sheetData>
  <conditionalFormatting sqref="B9">
    <cfRule type="cellIs" dxfId="6" priority="7" stopIfTrue="1" operator="lessThan">
      <formula>0</formula>
    </cfRule>
  </conditionalFormatting>
  <conditionalFormatting sqref="C9:M9">
    <cfRule type="cellIs" dxfId="5" priority="6" stopIfTrue="1" operator="lessThan">
      <formula>0</formula>
    </cfRule>
  </conditionalFormatting>
  <conditionalFormatting sqref="N9">
    <cfRule type="cellIs" dxfId="4" priority="5" stopIfTrue="1" operator="lessThan">
      <formula>0</formula>
    </cfRule>
  </conditionalFormatting>
  <conditionalFormatting sqref="B10:M10">
    <cfRule type="cellIs" dxfId="3" priority="4" stopIfTrue="1" operator="lessThan">
      <formula>0</formula>
    </cfRule>
  </conditionalFormatting>
  <conditionalFormatting sqref="N10">
    <cfRule type="cellIs" dxfId="2" priority="3" stopIfTrue="1" operator="lessThan">
      <formula>0</formula>
    </cfRule>
  </conditionalFormatting>
  <conditionalFormatting sqref="B11:M14">
    <cfRule type="cellIs" dxfId="1" priority="2" stopIfTrue="1" operator="lessThan">
      <formula>0</formula>
    </cfRule>
  </conditionalFormatting>
  <conditionalFormatting sqref="N11:N14">
    <cfRule type="cellIs" dxfId="0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Receita X Despesa</vt:lpstr>
      <vt:lpstr>Exec_Por Grupo</vt:lpstr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Nunes de Oliveira</dc:creator>
  <cp:lastModifiedBy>Leopoldo Euler Marialva de Albuquerque</cp:lastModifiedBy>
  <dcterms:created xsi:type="dcterms:W3CDTF">2026-07-16T19:38:25Z</dcterms:created>
  <dcterms:modified xsi:type="dcterms:W3CDTF">2026-08-19T20:04:58Z</dcterms:modified>
</cp:coreProperties>
</file>