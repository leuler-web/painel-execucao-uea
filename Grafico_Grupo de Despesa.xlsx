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Rei-1cpd003\coord_plan_institucional\DADOS CPI\Orçamento\2026\EXECUÇÃO ORÇAMENTÁRIA\RELEXORC_CSV\Saida_PowerBI\"/>
    </mc:Choice>
  </mc:AlternateContent>
  <xr:revisionPtr revIDLastSave="0" documentId="13_ncr:1_{E8707B50-AA76-4BE6-B411-F71B4AF47C9D}" xr6:coauthVersionLast="47" xr6:coauthVersionMax="47" xr10:uidLastSave="{00000000-0000-0000-0000-000000000000}"/>
  <bookViews>
    <workbookView xWindow="28680" yWindow="-120" windowWidth="29040" windowHeight="15840" xr2:uid="{BD803231-520B-43E5-B415-970328918330}"/>
  </bookViews>
  <sheets>
    <sheet name="ReceitaXDespesa" sheetId="3" r:id="rId1"/>
    <sheet name="Planilha2" sheetId="4" r:id="rId2"/>
    <sheet name="Exec_Por Grupo" sheetId="1" state="hidden" r:id="rId3"/>
    <sheet name="Planilha1" sheetId="2" state="hidden" r:id="rId4"/>
  </sheets>
  <definedNames>
    <definedName name="_xlnm.Print_Area" localSheetId="3">Planilha1!$A$1:$P$59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2" i="3" l="1"/>
  <c r="C33" i="3" s="1"/>
  <c r="C31" i="3"/>
  <c r="C28" i="3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37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<sst xmlns="http://schemas.openxmlformats.org/spreadsheetml/2006/main" count="89" uniqueCount="40">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</sst>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41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opoldo Euler Marialva de Albuquerque" refreshedDate="46275.40976412037" createdVersion="7" refreshedVersion="7" minRefreshableVersion="3" recordCount="53" xr:uid="{96A2F22B-9851-447E-BF55-32AFFD6526E0}">
  <cacheSource type="worksheet">
    <worksheetSource ref="A1:C1048576" sheet="ReceitaXDespesa"/>
  </cacheSource>
  <cacheFields count="3">
    <cacheField name="Mês/Ano" numFmtId="0">
      <sharedItems containsNonDate="0" containsDate="1" containsString="0" containsBlank="1" minDate="2026-01-01T00:00:00" maxDate="2026-12-02T00:00:00"/>
    </cacheField>
    <cacheField name="Item Orçamentário" numFmtId="0">
      <sharedItems containsBlank="1"/>
    </cacheField>
    <cacheField name="Valor" numFmtId="0">
      <sharedItems containsString="0" containsBlank="1" containsNumber="1" minValue="-91.791328169999986" maxValue="154.6354271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d v="2026-01-01T00:00:00"/>
    <s v="LOA (A)"/>
    <n v="84.4166666666667"/>
  </r>
  <r>
    <d v="2026-01-01T00:00:00"/>
    <s v="Receita Arrecadada (B)"/>
    <n v="62.844099030000002"/>
  </r>
  <r>
    <d v="2026-01-01T00:00:00"/>
    <s v="Despesa Realizada (C)"/>
    <n v="154.63542719999998"/>
  </r>
  <r>
    <d v="2026-01-01T00:00:00"/>
    <s v="Saldo (B-C)"/>
    <n v="-91.791328169999986"/>
  </r>
  <r>
    <d v="2026-02-01T00:00:00"/>
    <s v="LOA (A)"/>
    <n v="84.4166666666667"/>
  </r>
  <r>
    <d v="2026-02-01T00:00:00"/>
    <s v="Receita Arrecadada (B)"/>
    <n v="71.107409860000004"/>
  </r>
  <r>
    <d v="2026-02-01T00:00:00"/>
    <s v="Despesa Realizada (C)"/>
    <n v="65.867006619999998"/>
  </r>
  <r>
    <d v="2026-02-01T00:00:00"/>
    <s v="Saldo (B-C)"/>
    <n v="5.2404032400000062"/>
  </r>
  <r>
    <d v="2026-03-01T00:00:00"/>
    <s v="LOA (A)"/>
    <n v="84.4166666666667"/>
  </r>
  <r>
    <d v="2026-03-01T00:00:00"/>
    <s v="Receita Arrecadada (B)"/>
    <n v="75.044984989999989"/>
  </r>
  <r>
    <d v="2026-03-01T00:00:00"/>
    <s v="Despesa Realizada (C)"/>
    <n v="54.581181280000003"/>
  </r>
  <r>
    <d v="2026-03-01T00:00:00"/>
    <s v="Saldo (B-C)"/>
    <n v="20.463803709999986"/>
  </r>
  <r>
    <d v="2026-04-01T00:00:00"/>
    <s v="LOA (A)"/>
    <n v="84.4166666666667"/>
  </r>
  <r>
    <d v="2026-04-01T00:00:00"/>
    <s v="Receita Arrecadada (B)"/>
    <n v="91.82818374"/>
  </r>
  <r>
    <d v="2026-04-01T00:00:00"/>
    <s v="Despesa Realizada (C)"/>
    <n v="41.371067400000001"/>
  </r>
  <r>
    <d v="2026-04-01T00:00:00"/>
    <s v="Saldo (B-C)"/>
    <n v="50.457116339999999"/>
  </r>
  <r>
    <d v="2026-05-01T00:00:00"/>
    <s v="LOA (A)"/>
    <n v="84.4166666666667"/>
  </r>
  <r>
    <d v="2026-05-01T00:00:00"/>
    <s v="Receita Arrecadada (B)"/>
    <n v="77.415932499999997"/>
  </r>
  <r>
    <d v="2026-05-01T00:00:00"/>
    <s v="Despesa Realizada (C)"/>
    <n v="80.184171169999999"/>
  </r>
  <r>
    <d v="2026-05-01T00:00:00"/>
    <s v="Saldo (B-C)"/>
    <n v="-2.7682386700000023"/>
  </r>
  <r>
    <d v="2026-06-01T00:00:00"/>
    <s v="LOA (A)"/>
    <n v="84.4166666666667"/>
  </r>
  <r>
    <d v="2026-06-01T00:00:00"/>
    <s v="Receita Arrecadada (B)"/>
    <n v="75.166762640000002"/>
  </r>
  <r>
    <d v="2026-06-01T00:00:00"/>
    <s v="Despesa Realizada (C)"/>
    <n v="92.382151069999992"/>
  </r>
  <r>
    <d v="2026-06-01T00:00:00"/>
    <s v="Saldo (B-C)"/>
    <n v="-17.21538842999999"/>
  </r>
  <r>
    <d v="2026-07-01T00:00:00"/>
    <s v="LOA (A)"/>
    <n v="84.4166666666667"/>
  </r>
  <r>
    <d v="2026-07-01T00:00:00"/>
    <s v="Receita Arrecadada (B)"/>
    <n v="70.888043189999991"/>
  </r>
  <r>
    <d v="2026-07-01T00:00:00"/>
    <s v="Despesa Realizada (C)"/>
    <n v="99.462564389999997"/>
  </r>
  <r>
    <d v="2026-07-01T00:00:00"/>
    <s v="Saldo (B-C)"/>
    <n v="-28.574521200000007"/>
  </r>
  <r>
    <d v="2026-08-01T00:00:00"/>
    <s v="LOA (A)"/>
    <n v="84.4166666666667"/>
  </r>
  <r>
    <d v="2026-08-01T00:00:00"/>
    <s v="Receita Arrecadada (B)"/>
    <n v="76.738591329999991"/>
  </r>
  <r>
    <d v="2026-08-01T00:00:00"/>
    <s v="Despesa Realizada (C)"/>
    <n v="77.35292192"/>
  </r>
  <r>
    <d v="2026-08-01T00:00:00"/>
    <s v="Saldo (B-C)"/>
    <n v="-0.61433059000000867"/>
  </r>
  <r>
    <d v="2026-09-01T00:00:00"/>
    <s v="LOA (A)"/>
    <n v="84.4166666666667"/>
  </r>
  <r>
    <d v="2026-09-01T00:00:00"/>
    <s v="Receita Arrecadada (B)"/>
    <m/>
  </r>
  <r>
    <d v="2026-09-01T00:00:00"/>
    <s v="Despesa Realizada (C)"/>
    <m/>
  </r>
  <r>
    <d v="2026-09-01T00:00:00"/>
    <s v="Saldo (B-C)"/>
    <n v="0"/>
  </r>
  <r>
    <d v="2026-10-01T00:00:00"/>
    <s v="LOA (A)"/>
    <n v="84.4166666666667"/>
  </r>
  <r>
    <d v="2026-10-01T00:00:00"/>
    <s v="Receita Arrecadada (B)"/>
    <m/>
  </r>
  <r>
    <d v="2026-10-01T00:00:00"/>
    <s v="Despesa Realizada (C)"/>
    <m/>
  </r>
  <r>
    <d v="2026-10-01T00:00:00"/>
    <s v="Saldo (B-C)"/>
    <n v="0"/>
  </r>
  <r>
    <d v="2026-11-01T00:00:00"/>
    <s v="LOA (A)"/>
    <n v="84.4166666666667"/>
  </r>
  <r>
    <d v="2026-11-01T00:00:00"/>
    <s v="Receita Arrecadada (B)"/>
    <m/>
  </r>
  <r>
    <d v="2026-11-01T00:00:00"/>
    <s v="Despesa Realizada (C)"/>
    <m/>
  </r>
  <r>
    <d v="2026-11-01T00:00:00"/>
    <s v="Saldo (B-C)"/>
    <n v="0"/>
  </r>
  <r>
    <d v="2026-12-01T00:00:00"/>
    <s v="LOA (A)"/>
    <n v="84.4166666666667"/>
  </r>
  <r>
    <d v="2026-12-01T00:00:00"/>
    <s v="Receita Arrecadada (B)"/>
    <m/>
  </r>
  <r>
    <d v="2026-12-01T00:00:00"/>
    <s v="Despesa Realizada (C)"/>
    <m/>
  </r>
  <r>
    <d v="2026-12-01T00:00:00"/>
    <s v="Saldo (B-C)"/>
    <n v="0"/>
  </r>
  <r>
    <m/>
    <m/>
    <m/>
  </r>
  <r>
    <m/>
    <m/>
    <m/>
  </r>
  <r>
    <m/>
    <m/>
    <m/>
  </r>
  <r>
    <m/>
    <m/>
    <m/>
  </r>
  <r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06F569-D500-4B4F-95B4-2EACD5DAD170}" name="Tabela dinâmica1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:C18" firstHeaderRow="1" firstDataRow="1" firstDataCol="0"/>
  <pivotFields count="3"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20" activePane="bottomLeft" state="frozen"/>
      <selection pane="bottomLeft" activeCell="C37" sqref="C37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>
        <f>76738591.33/1000000</f>
        <v>76.738591329999991</v>
      </c>
    </row>
    <row r="32" spans="1:3" x14ac:dyDescent="0.25">
      <c r="A32" s="30">
        <v>46235</v>
      </c>
      <c r="B32" t="s">
        <v>26</v>
      </c>
      <c r="C32" s="1">
        <f>77352921.92/1000000</f>
        <v>77.35292192</v>
      </c>
    </row>
    <row r="33" spans="1:3" x14ac:dyDescent="0.25">
      <c r="A33" s="30">
        <v>46235</v>
      </c>
      <c r="B33" t="s">
        <v>27</v>
      </c>
      <c r="C33" s="1">
        <f>C31-C32</f>
        <v>-0.61433059000000867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/>
    </row>
    <row r="36" spans="1:3" x14ac:dyDescent="0.25">
      <c r="A36" s="30">
        <v>46266</v>
      </c>
      <c r="B36" t="s">
        <v>26</v>
      </c>
      <c r="C36" s="1"/>
    </row>
    <row r="37" spans="1:3" x14ac:dyDescent="0.25">
      <c r="A37" s="30">
        <v>46266</v>
      </c>
      <c r="B37" t="s">
        <v>27</v>
      </c>
      <c r="C37" s="1">
        <f>C35-C36</f>
        <v>0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06E5-5AAB-4F02-B6BE-5DAC634E0134}">
  <dimension ref="A1:C18"/>
  <sheetViews>
    <sheetView workbookViewId="0"/>
  </sheetViews>
  <sheetFormatPr defaultRowHeight="15" x14ac:dyDescent="0.25"/>
  <sheetData>
    <row r="1" spans="1:3" x14ac:dyDescent="0.25">
      <c r="A1" s="32"/>
      <c r="B1" s="33"/>
      <c r="C1" s="34"/>
    </row>
    <row r="2" spans="1:3" x14ac:dyDescent="0.25">
      <c r="A2" s="35"/>
      <c r="B2" s="36"/>
      <c r="C2" s="37"/>
    </row>
    <row r="3" spans="1:3" x14ac:dyDescent="0.25">
      <c r="A3" s="35"/>
      <c r="B3" s="36"/>
      <c r="C3" s="37"/>
    </row>
    <row r="4" spans="1:3" x14ac:dyDescent="0.25">
      <c r="A4" s="35"/>
      <c r="B4" s="36"/>
      <c r="C4" s="37"/>
    </row>
    <row r="5" spans="1:3" x14ac:dyDescent="0.25">
      <c r="A5" s="35"/>
      <c r="B5" s="36"/>
      <c r="C5" s="37"/>
    </row>
    <row r="6" spans="1:3" x14ac:dyDescent="0.25">
      <c r="A6" s="35"/>
      <c r="B6" s="36"/>
      <c r="C6" s="37"/>
    </row>
    <row r="7" spans="1:3" x14ac:dyDescent="0.25">
      <c r="A7" s="35"/>
      <c r="B7" s="36"/>
      <c r="C7" s="37"/>
    </row>
    <row r="8" spans="1:3" x14ac:dyDescent="0.25">
      <c r="A8" s="35"/>
      <c r="B8" s="36"/>
      <c r="C8" s="37"/>
    </row>
    <row r="9" spans="1:3" x14ac:dyDescent="0.25">
      <c r="A9" s="35"/>
      <c r="B9" s="36"/>
      <c r="C9" s="37"/>
    </row>
    <row r="10" spans="1:3" x14ac:dyDescent="0.25">
      <c r="A10" s="35"/>
      <c r="B10" s="36"/>
      <c r="C10" s="37"/>
    </row>
    <row r="11" spans="1:3" x14ac:dyDescent="0.25">
      <c r="A11" s="35"/>
      <c r="B11" s="36"/>
      <c r="C11" s="37"/>
    </row>
    <row r="12" spans="1:3" x14ac:dyDescent="0.25">
      <c r="A12" s="35"/>
      <c r="B12" s="36"/>
      <c r="C12" s="37"/>
    </row>
    <row r="13" spans="1:3" x14ac:dyDescent="0.25">
      <c r="A13" s="35"/>
      <c r="B13" s="36"/>
      <c r="C13" s="37"/>
    </row>
    <row r="14" spans="1:3" x14ac:dyDescent="0.25">
      <c r="A14" s="35"/>
      <c r="B14" s="36"/>
      <c r="C14" s="37"/>
    </row>
    <row r="15" spans="1:3" x14ac:dyDescent="0.25">
      <c r="A15" s="35"/>
      <c r="B15" s="36"/>
      <c r="C15" s="37"/>
    </row>
    <row r="16" spans="1:3" x14ac:dyDescent="0.25">
      <c r="A16" s="35"/>
      <c r="B16" s="36"/>
      <c r="C16" s="37"/>
    </row>
    <row r="17" spans="1:3" x14ac:dyDescent="0.25">
      <c r="A17" s="35"/>
      <c r="B17" s="36"/>
      <c r="C17" s="37"/>
    </row>
    <row r="18" spans="1:3" x14ac:dyDescent="0.25">
      <c r="A18" s="38"/>
      <c r="B18" s="39"/>
      <c r="C18" s="4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D17" sqref="D17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ReceitaXDespesa</vt:lpstr>
      <vt:lpstr>Planilha2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Leopoldo Euler Marialva de Albuquerque</cp:lastModifiedBy>
  <dcterms:created xsi:type="dcterms:W3CDTF">2026-07-16T19:38:25Z</dcterms:created>
  <dcterms:modified xsi:type="dcterms:W3CDTF">2026-09-10T14:27:05Z</dcterms:modified>
</cp:coreProperties>
</file>